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Historicals" sheetId="2" state="visible" r:id="rId4"/>
    <sheet name="WACC" sheetId="3" state="visible" r:id="rId5"/>
    <sheet name="DCF"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Vinci FY2025 Consolidated Financial Statements, p.3. Excludes concession subsidiaries' revenue from works.</t>
        </r>
      </text>
    </comment>
    <comment ref="C8" authorId="0">
      <text>
        <r>
          <rPr>
            <sz val="10"/>
            <rFont val="Arial"/>
            <family val="2"/>
          </rPr>
          <t xml:space="preserve">Vinci FY2025 Consolidated Financial Statements, p.3.</t>
        </r>
      </text>
    </comment>
    <comment ref="C9" authorId="0">
      <text>
        <r>
          <rPr>
            <sz val="10"/>
            <rFont val="Arial"/>
            <family val="2"/>
          </rPr>
          <t xml:space="preserve">Vinci FY2025 Consolidated Financial Statements, p.3, reported subtotal.</t>
        </r>
      </text>
    </comment>
    <comment ref="C10" authorId="0">
      <text>
        <r>
          <rPr>
            <sz val="10"/>
            <rFont val="Arial"/>
            <family val="2"/>
          </rPr>
          <t xml:space="preserve">Tolerance of +/-1 (EUR mm) allowed: Vinci rounds each line independently before publishing, so the sum of two rounded lines can differ from the rounded reported subtotal by up to 1.</t>
        </r>
      </text>
    </comment>
    <comment ref="C12" authorId="0">
      <text>
        <r>
          <rPr>
            <sz val="10"/>
            <rFont val="Arial"/>
            <family val="2"/>
          </rPr>
          <t xml:space="preserve">Vinci FY2025 Consolidated Financial Statements, p.3 (Note 4).</t>
        </r>
      </text>
    </comment>
    <comment ref="C13" authorId="0">
      <text>
        <r>
          <rPr>
            <sz val="10"/>
            <rFont val="Arial"/>
            <family val="2"/>
          </rPr>
          <t xml:space="preserve">Vinci FY2025 Consolidated Financial Statements, p.3 (Note 4). Reported directly as a single line — Vinci uses "by nature" IFRS presentation, so this is not split into Cost of Sales / SG&amp;A / R&amp;D as under a "by function" presentation (e.g. Apple).</t>
        </r>
      </text>
    </comment>
    <comment ref="C14" authorId="0">
      <text>
        <r>
          <rPr>
            <sz val="10"/>
            <rFont val="Arial"/>
            <family val="2"/>
          </rPr>
          <t xml:space="preserve">Vinci FY2025 Consolidated Financial Statements, p.3. THIS is the model's "EBIT" line used throughout the WACC/DCF tabs. Check: Total revenue + Ancillary revenue + Operating expenses = 75,372+331-66,145 = 9,558. OK.</t>
        </r>
      </text>
    </comment>
    <comment ref="C18" authorId="0">
      <text>
        <r>
          <rPr>
            <sz val="10"/>
            <rFont val="Arial"/>
            <family val="2"/>
          </rPr>
          <t xml:space="preserve">Vinci FY2025 Consolidated Financial Statements, p.3 (Note 30).</t>
        </r>
      </text>
    </comment>
    <comment ref="C19" authorId="0">
      <text>
        <r>
          <rPr>
            <sz val="10"/>
            <rFont val="Arial"/>
            <family val="2"/>
          </rPr>
          <t xml:space="preserve">Vinci FY2025 Consolidated Financial Statements, p.3 (Notes 4/10).</t>
        </r>
      </text>
    </comment>
    <comment ref="C20" authorId="0">
      <text>
        <r>
          <rPr>
            <sz val="10"/>
            <rFont val="Arial"/>
            <family val="2"/>
          </rPr>
          <t xml:space="preserve">Vinci FY2025 Consolidated Financial Statements, p.3 (Note 4).</t>
        </r>
      </text>
    </comment>
    <comment ref="C21" authorId="0">
      <text>
        <r>
          <rPr>
            <sz val="10"/>
            <rFont val="Arial"/>
            <family val="2"/>
          </rPr>
          <t xml:space="preserve">Vinci FY2025 Consolidated Financial Statements, p.3 (Note 4). Check: EBIT - IFRS2 + equity method + other = 9,558-567+300+110 = 9,401. OK.</t>
        </r>
      </text>
    </comment>
    <comment ref="C22" authorId="0">
      <text>
        <r>
          <rPr>
            <sz val="10"/>
            <rFont val="Arial"/>
            <family val="2"/>
          </rPr>
          <t xml:space="preserve">Vinci FY2025 Consolidated Financial Statements, p.3 (Note 4).</t>
        </r>
      </text>
    </comment>
    <comment ref="C23" authorId="0">
      <text>
        <r>
          <rPr>
            <sz val="10"/>
            <rFont val="Arial"/>
            <family val="2"/>
          </rPr>
          <t xml:space="preserve">Vinci FY2025 Consolidated Financial Statements, p.3.</t>
        </r>
      </text>
    </comment>
    <comment ref="C25" authorId="0">
      <text>
        <r>
          <rPr>
            <sz val="10"/>
            <rFont val="Arial"/>
            <family val="2"/>
          </rPr>
          <t xml:space="preserve">Vinci FY2025 Consolidated Financial Statements, p.3 (Note 5).</t>
        </r>
      </text>
    </comment>
    <comment ref="C26" authorId="0">
      <text>
        <r>
          <rPr>
            <sz val="10"/>
            <rFont val="Arial"/>
            <family val="2"/>
          </rPr>
          <t xml:space="preserve">Vinci FY2025 Consolidated Financial Statements, p.3 (Note 5).</t>
        </r>
      </text>
    </comment>
    <comment ref="C27" authorId="0">
      <text>
        <r>
          <rPr>
            <sz val="10"/>
            <rFont val="Arial"/>
            <family val="2"/>
          </rPr>
          <t xml:space="preserve">Vinci FY2025 Consolidated Financial Statements, p.3 (Note 5).</t>
        </r>
      </text>
    </comment>
    <comment ref="C28" authorId="0">
      <text>
        <r>
          <rPr>
            <sz val="10"/>
            <rFont val="Arial"/>
            <family val="2"/>
          </rPr>
          <t xml:space="preserve">Vinci FY2025 Consolidated Financial Statements, p.3 (Note 6).</t>
        </r>
      </text>
    </comment>
    <comment ref="C29" authorId="0">
      <text>
        <r>
          <rPr>
            <sz val="10"/>
            <rFont val="Arial"/>
            <family val="2"/>
          </rPr>
          <t xml:space="preserve">FIXED: previously omitted subtracting equity-method profit (row 19), giving 7,936 instead of the correct 7,636. Vinci's own Note 7.2 tax reconciliation explicitly uses "Income before tax AND profit of companies accounted for under the equity method" as its base (7,636 FY25 / 7,156 FY24) — confirmed exactly against the PDF, p.30, 4-Jul-2026.</t>
        </r>
      </text>
    </comment>
    <comment ref="C30" authorId="0">
      <text>
        <r>
          <rPr>
            <sz val="10"/>
            <rFont val="Arial"/>
            <family val="2"/>
          </rPr>
          <t xml:space="preserve">Vinci FY2025 Consolidated Financial Statements, p.3 (Note 7).</t>
        </r>
      </text>
    </comment>
    <comment ref="C31" authorId="0">
      <text>
        <r>
          <rPr>
            <sz val="10"/>
            <rFont val="Arial"/>
            <family val="2"/>
          </rPr>
          <t xml:space="preserve">Materially above the 25% French statutory rate — see Section 1b below: the primary driver is the 2025 Finance Law's temporary large-company exceptional surtax (first applicable FY2025), not generic non-deductible items. Cross-check: FY2024 (pre-surtax) effective rate is much closer to the 25% base rate, consistent with this explanation.</t>
        </r>
      </text>
    </comment>
    <comment ref="C32" authorId="0">
      <text>
        <r>
          <rPr>
            <sz val="10"/>
            <rFont val="Arial"/>
            <family val="2"/>
          </rPr>
          <t xml:space="preserve">Vinci FY2025 Consolidated Financial Statements, p.3.</t>
        </r>
      </text>
    </comment>
    <comment ref="C33" authorId="0">
      <text>
        <r>
          <rPr>
            <sz val="10"/>
            <rFont val="Arial"/>
            <family val="2"/>
          </rPr>
          <t xml:space="preserve">Vinci FY2025 Consolidated Financial Statements, p.3 (Note 23.5).</t>
        </r>
      </text>
    </comment>
    <comment ref="C34" authorId="0">
      <text>
        <r>
          <rPr>
            <sz val="10"/>
            <rFont val="Arial"/>
            <family val="2"/>
          </rPr>
          <t xml:space="preserve">Vinci FY2025 Consolidated Financial Statements, p.3. Check: Net income - NCI = 5,275-372 = 4,903. OK.</t>
        </r>
      </text>
    </comment>
    <comment ref="C36" authorId="0">
      <text>
        <r>
          <rPr>
            <sz val="10"/>
            <rFont val="Arial"/>
            <family val="2"/>
          </rPr>
          <t xml:space="preserve">Vinci FY2025 Consolidated Financial Statements, p.26 (Note 4, expense by nature) — NOT on the p.3 Income Statement cascade above. Shown here as a positive magnitude for the EBITDA build-up.</t>
        </r>
      </text>
    </comment>
    <comment ref="C38" authorId="0">
      <text>
        <r>
          <rPr>
            <sz val="10"/>
            <rFont val="Arial"/>
            <family val="2"/>
          </rPr>
          <t xml:space="preserve">Calculated as EBIT + D&amp;A for internal DCF consistency. NOT on Vinci's p.3 Income Statement — Vinci does not report a group EBITDA line there. NOTE: differs from the separately-disclosed "cash flow from operations before tax and financing costs" of EUR 13,507m (FY25)/EUR 12,689m (FY24) in the Cash Flow Statement, which nets additional adjustments (provisions, disposals, FX, lease finance costs) beyond D&amp;A alone — those are modelled as separate lines above, so using the CFS figure here would double-count them.</t>
        </r>
      </text>
    </comment>
    <comment ref="C42" authorId="0">
      <text>
        <r>
          <rPr>
            <sz val="10"/>
            <rFont val="Arial"/>
            <family val="2"/>
          </rPr>
          <t xml:space="preserve">Vinci FY2025 Consolidated Financial Statements, p.3 (Note 8).</t>
        </r>
      </text>
    </comment>
    <comment ref="C43" authorId="0">
      <text>
        <r>
          <rPr>
            <sz val="10"/>
            <rFont val="Arial"/>
            <family val="2"/>
          </rPr>
          <t xml:space="preserve">Vinci FY2025 Consolidated Financial Statements, p.3 (Note 8).</t>
        </r>
      </text>
    </comment>
    <comment ref="C45" authorId="0">
      <text>
        <r>
          <rPr>
            <sz val="10"/>
            <rFont val="Arial"/>
            <family val="2"/>
          </rPr>
          <t xml:space="preserve">Cross-check against the 530.01mm diluted shares outstanding sourced from stockanalysis.com (Section 4 below) — should be broadly consistent.</t>
        </r>
      </text>
    </comment>
    <comment ref="C48" authorId="0">
      <text>
        <r>
          <rPr>
            <sz val="10"/>
            <rFont val="Arial"/>
            <family val="2"/>
          </rPr>
          <t xml:space="preserve">Vinci FY2025 Consolidated Financial Statements, p.30 (Note 7.2, tax rate reconciliation): "Theoretical tax rate in France (excluding the exceptional contribution): 25.8%" — Vinci's own disclosed figure, replacing the generic 25% statutory-rate assumption used earlier.</t>
        </r>
      </text>
    </comment>
    <comment ref="C49" authorId="0">
      <text>
        <r>
          <rPr>
            <sz val="10"/>
            <rFont val="Arial"/>
            <family val="2"/>
          </rPr>
          <t xml:space="preserve">The 2025 Finance Law introduced a temporary exceptional contribution on CIT for French companies with turnover &gt;EUR 1bn, for the first FY ending on/after 31-Dec-2025; extended (narrowed to &gt;EUR 1.5bn threshold, halved rates) by the 2026 Finance Law for FY2026. Vinci's turnover (~EUR 75bn) is far above even the highest tier (&gt;EUR 3bn), so the surtax applies in full. Source: BDO Corporate Tax News, "France 2026 Budget Finally Passed", and DLA Piper REALWORLD, Taxation in France.</t>
        </r>
      </text>
    </comment>
    <comment ref="C50" authorId="0">
      <text>
        <r>
          <rPr>
            <sz val="10"/>
            <rFont val="Arial"/>
            <family val="2"/>
          </rPr>
          <t xml:space="preserve">Vinci FY2025 Consolidated Financial Statements, p.30 (Note 7.2): "The Group's effective tax rate was 34.8% in 2025, compared with 29.4% in 2024. This increase reflects the exceptional contribution... which raised the rate by 5.9%." Replaces the earlier third-party-sourced 36.3% estimate (BDO) with Vinci's own precise, audited figure.</t>
        </r>
      </text>
    </comment>
    <comment ref="C51" authorId="0">
      <text>
        <r>
          <rPr>
            <sz val="10"/>
            <rFont val="Arial"/>
            <family val="2"/>
          </rPr>
          <t xml:space="preserve">VINCI 2025 full-year results press release (5-Feb-2026), footnote 22: "Taking into account that the higher corporate income tax rate introduced in France in 2025 (around 36%) also applies in 2026." This directly confirms the FY2026 near-term rate assumption without needing to estimate from third-party summaries.</t>
        </r>
      </text>
    </comment>
    <comment ref="C52" authorId="0">
      <text>
        <r>
          <rPr>
            <sz val="10"/>
            <rFont val="Arial"/>
            <family val="2"/>
          </rPr>
          <t xml:space="preserve">FY2025 effective rate (shown live in the cell to the left) is much closer to the 36.30% FY25 surtax-inclusive rate than to the plain 25% base rate. FY2024 effective rate (pre-surtax year, right column) is much closer to 25% + small residual items. This internal consistency supports the surtax explanation above.</t>
        </r>
      </text>
    </comment>
    <comment ref="C53" authorId="0">
      <text>
        <r>
          <rPr>
            <sz val="10"/>
            <rFont val="Arial"/>
            <family val="2"/>
          </rPr>
          <t xml:space="preserve">UPDATED to Vinci's own precisely disclosed FY2025 effective tax rate (34.8%), confirmed by the company's own guidance to continue at a similar ("around 36%") level into FY2026 — the forecast year this rate applies to in the DCF tab.</t>
        </r>
      </text>
    </comment>
    <comment ref="C54" authorId="0">
      <text>
        <r>
          <rPr>
            <sz val="10"/>
            <rFont val="Arial"/>
            <family val="2"/>
          </rPr>
          <t xml:space="preserve">UPDATED to Vinci's own disclosed theoretical/statutory rate (25.8%, excluding the exceptional surtax), per Note 7.2 — used for terminal/long-run years once the temporary surtax is assumed to have expired.</t>
        </r>
      </text>
    </comment>
    <comment ref="C59" authorId="0">
      <text>
        <r>
          <rPr>
            <sz val="10"/>
            <rFont val="Arial"/>
            <family val="2"/>
          </rPr>
          <t xml:space="preserve">Vinci FY2025 Consolidated Financial Statements, p.5 (Balance Sheet).</t>
        </r>
      </text>
    </comment>
    <comment ref="C60" authorId="0">
      <text>
        <r>
          <rPr>
            <sz val="10"/>
            <rFont val="Arial"/>
            <family val="2"/>
          </rPr>
          <t xml:space="preserve">Vinci FY2025 Consolidated Financial Statements, p.5 (Balance Sheet).</t>
        </r>
      </text>
    </comment>
    <comment ref="C61" authorId="0">
      <text>
        <r>
          <rPr>
            <sz val="10"/>
            <rFont val="Arial"/>
            <family val="2"/>
          </rPr>
          <t xml:space="preserve">Vinci FY2025 Consolidated Financial Statements, p.5 (Balance Sheet).</t>
        </r>
      </text>
    </comment>
    <comment ref="C62" authorId="0">
      <text>
        <r>
          <rPr>
            <sz val="10"/>
            <rFont val="Arial"/>
            <family val="2"/>
          </rPr>
          <t xml:space="preserve">Vinci FY2025 Consolidated Financial Statements, p.5 (Balance Sheet).</t>
        </r>
      </text>
    </comment>
    <comment ref="C63" authorId="0">
      <text>
        <r>
          <rPr>
            <sz val="10"/>
            <rFont val="Arial"/>
            <family val="2"/>
          </rPr>
          <t xml:space="preserve">Vinci FY2025 Consolidated Financial Statements, p.5 (Balance Sheet).</t>
        </r>
      </text>
    </comment>
    <comment ref="C64" authorId="0">
      <text>
        <r>
          <rPr>
            <sz val="10"/>
            <rFont val="Arial"/>
            <family val="2"/>
          </rPr>
          <t xml:space="preserve">Vinci FY2025 Consolidated Financial Statements, p.5 (Balance Sheet).</t>
        </r>
      </text>
    </comment>
    <comment ref="C65" authorId="0">
      <text>
        <r>
          <rPr>
            <sz val="10"/>
            <rFont val="Arial"/>
            <family val="2"/>
          </rPr>
          <t xml:space="preserve">Vinci FY2025 Consolidated Financial Statements, p.5 (Balance Sheet).</t>
        </r>
      </text>
    </comment>
    <comment ref="C66" authorId="0">
      <text>
        <r>
          <rPr>
            <sz val="10"/>
            <rFont val="Arial"/>
            <family val="2"/>
          </rPr>
          <t xml:space="preserve">Vinci FY2025 Consolidated Financial Statements, p.5 (Balance Sheet).</t>
        </r>
      </text>
    </comment>
    <comment ref="C70" authorId="0">
      <text>
        <r>
          <rPr>
            <sz val="10"/>
            <rFont val="Arial"/>
            <family val="2"/>
          </rPr>
          <t xml:space="preserve">Vinci FY2025 Consolidated Financial Statements, p.5 (Balance Sheet).</t>
        </r>
      </text>
    </comment>
    <comment ref="C71" authorId="0">
      <text>
        <r>
          <rPr>
            <sz val="10"/>
            <rFont val="Arial"/>
            <family val="2"/>
          </rPr>
          <t xml:space="preserve">Vinci FY2025 Consolidated Financial Statements, p.5 (Balance Sheet).</t>
        </r>
      </text>
    </comment>
    <comment ref="C72" authorId="0">
      <text>
        <r>
          <rPr>
            <sz val="10"/>
            <rFont val="Arial"/>
            <family val="2"/>
          </rPr>
          <t xml:space="preserve">Vinci FY2025 Consolidated Financial Statements, p.5 (Balance Sheet).</t>
        </r>
      </text>
    </comment>
    <comment ref="C73" authorId="0">
      <text>
        <r>
          <rPr>
            <sz val="10"/>
            <rFont val="Arial"/>
            <family val="2"/>
          </rPr>
          <t xml:space="preserve">Vinci FY2025 Consolidated Financial Statements, p.5 (Balance Sheet).</t>
        </r>
      </text>
    </comment>
    <comment ref="C74" authorId="0">
      <text>
        <r>
          <rPr>
            <sz val="10"/>
            <rFont val="Arial"/>
            <family val="2"/>
          </rPr>
          <t xml:space="preserve">Vinci FY2025 Consolidated Financial Statements, p.5 (Balance Sheet).</t>
        </r>
      </text>
    </comment>
    <comment ref="C75" authorId="0">
      <text>
        <r>
          <rPr>
            <sz val="10"/>
            <rFont val="Arial"/>
            <family val="2"/>
          </rPr>
          <t xml:space="preserve">Vinci FY2025 Consolidated Financial Statements, p.5 (Balance Sheet).</t>
        </r>
      </text>
    </comment>
    <comment ref="C76" authorId="0">
      <text>
        <r>
          <rPr>
            <sz val="10"/>
            <rFont val="Arial"/>
            <family val="2"/>
          </rPr>
          <t xml:space="preserve">Vinci FY2025 Consolidated Financial Statements, p.5 (Balance Sheet).</t>
        </r>
      </text>
    </comment>
    <comment ref="C77" authorId="0">
      <text>
        <r>
          <rPr>
            <sz val="10"/>
            <rFont val="Arial"/>
            <family val="2"/>
          </rPr>
          <t xml:space="preserve">Vinci FY2025 Consolidated Financial Statements, p.5 (Balance Sheet).</t>
        </r>
      </text>
    </comment>
    <comment ref="C83" authorId="0">
      <text>
        <r>
          <rPr>
            <sz val="10"/>
            <rFont val="Arial"/>
            <family val="2"/>
          </rPr>
          <t xml:space="preserve">Vinci FY2025 Consolidated Financial Statements, p.6 (Balance Sheet).</t>
        </r>
      </text>
    </comment>
    <comment ref="C84" authorId="0">
      <text>
        <r>
          <rPr>
            <sz val="10"/>
            <rFont val="Arial"/>
            <family val="2"/>
          </rPr>
          <t xml:space="preserve">Vinci FY2025 Consolidated Financial Statements, p.6 (Balance Sheet).</t>
        </r>
      </text>
    </comment>
    <comment ref="C85" authorId="0">
      <text>
        <r>
          <rPr>
            <sz val="10"/>
            <rFont val="Arial"/>
            <family val="2"/>
          </rPr>
          <t xml:space="preserve">Vinci FY2025 Consolidated Financial Statements, p.6 (Balance Sheet).</t>
        </r>
      </text>
    </comment>
    <comment ref="C86" authorId="0">
      <text>
        <r>
          <rPr>
            <sz val="10"/>
            <rFont val="Arial"/>
            <family val="2"/>
          </rPr>
          <t xml:space="preserve">Vinci FY2025 Consolidated Financial Statements, p.6 (Balance Sheet).</t>
        </r>
      </text>
    </comment>
    <comment ref="C87" authorId="0">
      <text>
        <r>
          <rPr>
            <sz val="10"/>
            <rFont val="Arial"/>
            <family val="2"/>
          </rPr>
          <t xml:space="preserve">Vinci FY2025 Consolidated Financial Statements, p.6 (Balance Sheet).</t>
        </r>
      </text>
    </comment>
    <comment ref="C88" authorId="0">
      <text>
        <r>
          <rPr>
            <sz val="10"/>
            <rFont val="Arial"/>
            <family val="2"/>
          </rPr>
          <t xml:space="preserve">Vinci FY2025 Consolidated Financial Statements, p.6 (Balance Sheet).</t>
        </r>
      </text>
    </comment>
    <comment ref="C89" authorId="0">
      <text>
        <r>
          <rPr>
            <sz val="10"/>
            <rFont val="Arial"/>
            <family val="2"/>
          </rPr>
          <t xml:space="preserve">Vinci FY2025 Consolidated Financial Statements, p.6 (Balance Sheet).</t>
        </r>
      </text>
    </comment>
    <comment ref="C95" authorId="0">
      <text>
        <r>
          <rPr>
            <sz val="10"/>
            <rFont val="Arial"/>
            <family val="2"/>
          </rPr>
          <t xml:space="preserve">Vinci FY2025 Consolidated Financial Statements, p.6 (Balance Sheet).</t>
        </r>
      </text>
    </comment>
    <comment ref="C96" authorId="0">
      <text>
        <r>
          <rPr>
            <sz val="10"/>
            <rFont val="Arial"/>
            <family val="2"/>
          </rPr>
          <t xml:space="preserve">Vinci FY2025 Consolidated Financial Statements, p.6 (Balance Sheet).</t>
        </r>
      </text>
    </comment>
    <comment ref="C97" authorId="0">
      <text>
        <r>
          <rPr>
            <sz val="10"/>
            <rFont val="Arial"/>
            <family val="2"/>
          </rPr>
          <t xml:space="preserve">Vinci FY2025 Consolidated Financial Statements, p.6 (Balance Sheet).</t>
        </r>
      </text>
    </comment>
    <comment ref="C98" authorId="0">
      <text>
        <r>
          <rPr>
            <sz val="10"/>
            <rFont val="Arial"/>
            <family val="2"/>
          </rPr>
          <t xml:space="preserve">Vinci FY2025 Consolidated Financial Statements, p.6 (Balance Sheet).</t>
        </r>
      </text>
    </comment>
    <comment ref="C99" authorId="0">
      <text>
        <r>
          <rPr>
            <sz val="10"/>
            <rFont val="Arial"/>
            <family val="2"/>
          </rPr>
          <t xml:space="preserve">Vinci FY2025 Consolidated Financial Statements, p.6 (Balance Sheet).</t>
        </r>
      </text>
    </comment>
    <comment ref="C100" authorId="0">
      <text>
        <r>
          <rPr>
            <sz val="10"/>
            <rFont val="Arial"/>
            <family val="2"/>
          </rPr>
          <t xml:space="preserve">Vinci FY2025 Consolidated Financial Statements, p.6 (Balance Sheet).</t>
        </r>
      </text>
    </comment>
    <comment ref="C101" authorId="0">
      <text>
        <r>
          <rPr>
            <sz val="10"/>
            <rFont val="Arial"/>
            <family val="2"/>
          </rPr>
          <t xml:space="preserve">Vinci FY2025 Consolidated Financial Statements, p.6 (Balance Sheet).</t>
        </r>
      </text>
    </comment>
    <comment ref="C102" authorId="0">
      <text>
        <r>
          <rPr>
            <sz val="10"/>
            <rFont val="Arial"/>
            <family val="2"/>
          </rPr>
          <t xml:space="preserve">Vinci FY2025 Consolidated Financial Statements, p.6 (Balance Sheet).</t>
        </r>
      </text>
    </comment>
    <comment ref="C106" authorId="0">
      <text>
        <r>
          <rPr>
            <sz val="10"/>
            <rFont val="Arial"/>
            <family val="2"/>
          </rPr>
          <t xml:space="preserve">Vinci FY2025 Consolidated Financial Statements, p.6 (Balance Sheet).</t>
        </r>
      </text>
    </comment>
    <comment ref="C107" authorId="0">
      <text>
        <r>
          <rPr>
            <sz val="10"/>
            <rFont val="Arial"/>
            <family val="2"/>
          </rPr>
          <t xml:space="preserve">Vinci FY2025 Consolidated Financial Statements, p.6 (Balance Sheet).</t>
        </r>
      </text>
    </comment>
    <comment ref="C108" authorId="0">
      <text>
        <r>
          <rPr>
            <sz val="10"/>
            <rFont val="Arial"/>
            <family val="2"/>
          </rPr>
          <t xml:space="preserve">Vinci FY2025 Consolidated Financial Statements, p.6 (Balance Sheet).</t>
        </r>
      </text>
    </comment>
    <comment ref="C109" authorId="0">
      <text>
        <r>
          <rPr>
            <sz val="10"/>
            <rFont val="Arial"/>
            <family val="2"/>
          </rPr>
          <t xml:space="preserve">Vinci FY2025 Consolidated Financial Statements, p.6 (Balance Sheet).</t>
        </r>
      </text>
    </comment>
    <comment ref="C110" authorId="0">
      <text>
        <r>
          <rPr>
            <sz val="10"/>
            <rFont val="Arial"/>
            <family val="2"/>
          </rPr>
          <t xml:space="preserve">Vinci FY2025 Consolidated Financial Statements, p.6 (Balance Sheet).</t>
        </r>
      </text>
    </comment>
    <comment ref="C111" authorId="0">
      <text>
        <r>
          <rPr>
            <sz val="10"/>
            <rFont val="Arial"/>
            <family val="2"/>
          </rPr>
          <t xml:space="preserve">Vinci FY2025 Consolidated Financial Statements, p.6 (Balance Sheet).</t>
        </r>
      </text>
    </comment>
    <comment ref="C112" authorId="0">
      <text>
        <r>
          <rPr>
            <sz val="10"/>
            <rFont val="Arial"/>
            <family val="2"/>
          </rPr>
          <t xml:space="preserve">Vinci FY2025 Consolidated Financial Statements, p.6 (Balance Sheet).</t>
        </r>
      </text>
    </comment>
    <comment ref="C117" authorId="0">
      <text>
        <r>
          <rPr>
            <sz val="10"/>
            <rFont val="Arial"/>
            <family val="2"/>
          </rPr>
          <t xml:space="preserve">Per WSP methodology Sec.9: balance check must always be visible as its own row, never hidden. A small +/-2 (EUR mm) tolerance is allowed: each subtotal (Total Assets, Total Equity, Total Liabilities) is independently rounded by Vinci before publishing, so summing rounded components can differ from the rounded reported total by a euro or two — the same rounding artefact seen elsewhere in this workbook (Sec.1 revenue check). A difference beyond this tolerance would indicate a genuine mapping error.</t>
        </r>
      </text>
    </comment>
    <comment ref="C122" authorId="0">
      <text>
        <r>
          <rPr>
            <sz val="10"/>
            <rFont val="Arial"/>
            <family val="2"/>
          </rPr>
          <t xml:space="preserve">Vinci FY2025 Consolidated Financial Statements, p.7 (Cash Flow Statement).</t>
        </r>
      </text>
    </comment>
    <comment ref="C123" authorId="0">
      <text>
        <r>
          <rPr>
            <sz val="10"/>
            <rFont val="Arial"/>
            <family val="2"/>
          </rPr>
          <t xml:space="preserve">Vinci FY2025 Consolidated Financial Statements, p.7 (Cash Flow Statement).</t>
        </r>
      </text>
    </comment>
    <comment ref="C124" authorId="0">
      <text>
        <r>
          <rPr>
            <sz val="10"/>
            <rFont val="Arial"/>
            <family val="2"/>
          </rPr>
          <t xml:space="preserve">Vinci FY2025 Consolidated Financial Statements, p.7 (Cash Flow Statement).</t>
        </r>
      </text>
    </comment>
    <comment ref="C125" authorId="0">
      <text>
        <r>
          <rPr>
            <sz val="10"/>
            <rFont val="Arial"/>
            <family val="2"/>
          </rPr>
          <t xml:space="preserve">Vinci FY2025 Consolidated Financial Statements, p.7 (Cash Flow Statement).</t>
        </r>
      </text>
    </comment>
    <comment ref="C126" authorId="0">
      <text>
        <r>
          <rPr>
            <sz val="10"/>
            <rFont val="Arial"/>
            <family val="2"/>
          </rPr>
          <t xml:space="preserve">Vinci FY2025 Consolidated Financial Statements, p.7 (Cash Flow Statement).</t>
        </r>
      </text>
    </comment>
    <comment ref="C127" authorId="0">
      <text>
        <r>
          <rPr>
            <sz val="10"/>
            <rFont val="Arial"/>
            <family val="2"/>
          </rPr>
          <t xml:space="preserve">Vinci FY2025 Consolidated Financial Statements, p.7 (Cash Flow Statement).</t>
        </r>
      </text>
    </comment>
    <comment ref="C128" authorId="0">
      <text>
        <r>
          <rPr>
            <sz val="10"/>
            <rFont val="Arial"/>
            <family val="2"/>
          </rPr>
          <t xml:space="preserve">Vinci FY2025 Consolidated Financial Statements, p.7 (Cash Flow Statement).</t>
        </r>
      </text>
    </comment>
    <comment ref="C129" authorId="0">
      <text>
        <r>
          <rPr>
            <sz val="10"/>
            <rFont val="Arial"/>
            <family val="2"/>
          </rPr>
          <t xml:space="preserve">Vinci FY2025 Consolidated Financial Statements, p.7 (Cash Flow Statement).</t>
        </r>
      </text>
    </comment>
    <comment ref="C130" authorId="0">
      <text>
        <r>
          <rPr>
            <sz val="10"/>
            <rFont val="Arial"/>
            <family val="2"/>
          </rPr>
          <t xml:space="preserve">Vinci FY2025 Consolidated Financial Statements, p.7 (Cash Flow Statement).</t>
        </r>
      </text>
    </comment>
    <comment ref="C131" authorId="0">
      <text>
        <r>
          <rPr>
            <sz val="10"/>
            <rFont val="Arial"/>
            <family val="2"/>
          </rPr>
          <t xml:space="preserve">Vinci FY2025 Consolidated Financial Statements, p.7 (Cash Flow Statement).</t>
        </r>
      </text>
    </comment>
    <comment ref="C132" authorId="0">
      <text>
        <r>
          <rPr>
            <sz val="10"/>
            <rFont val="Arial"/>
            <family val="2"/>
          </rPr>
          <t xml:space="preserve">Vinci FY2025 Consolidated Financial Statements, p.7 (Cash Flow Statement).</t>
        </r>
      </text>
    </comment>
    <comment ref="C133" authorId="0">
      <text>
        <r>
          <rPr>
            <sz val="10"/>
            <rFont val="Arial"/>
            <family val="2"/>
          </rPr>
          <t xml:space="preserve">Reported directly by Vinci as EUR 13,507m (FY25)/EUR 12,689m (FY24) — cross-check the formula sum against this.</t>
        </r>
      </text>
    </comment>
    <comment ref="C139" authorId="0">
      <text>
        <r>
          <rPr>
            <sz val="10"/>
            <rFont val="Arial"/>
            <family val="2"/>
          </rPr>
          <t xml:space="preserve">Vinci FY2025 Consolidated Financial Statements, p.7 — reported subtotal (hardcode, not a formula sum).</t>
        </r>
      </text>
    </comment>
    <comment ref="C143" authorId="0">
      <text>
        <r>
          <rPr>
            <sz val="10"/>
            <rFont val="Arial"/>
            <family val="2"/>
          </rPr>
          <t xml:space="preserve">Vinci FY2025 Consolidated Financial Statements, p.7.</t>
        </r>
      </text>
    </comment>
    <comment ref="C144" authorId="0">
      <text>
        <r>
          <rPr>
            <sz val="10"/>
            <rFont val="Arial"/>
            <family val="2"/>
          </rPr>
          <t xml:space="preserve">Vinci FY2025 Consolidated Financial Statements, p.7.</t>
        </r>
      </text>
    </comment>
    <comment ref="C145" authorId="0">
      <text>
        <r>
          <rPr>
            <sz val="10"/>
            <rFont val="Arial"/>
            <family val="2"/>
          </rPr>
          <t xml:space="preserve">Check: should equal EUR (2,832)m (FY25)/EUR (2,708)m (FY24) — cross-check against reported subtotal.</t>
        </r>
      </text>
    </comment>
    <comment ref="C146" authorId="0">
      <text>
        <r>
          <rPr>
            <sz val="10"/>
            <rFont val="Arial"/>
            <family val="2"/>
          </rPr>
          <t xml:space="preserve">Vinci FY2025 Consolidated Financial Statements, p.7.</t>
        </r>
      </text>
    </comment>
    <comment ref="C147" authorId="0">
      <text>
        <r>
          <rPr>
            <sz val="10"/>
            <rFont val="Arial"/>
            <family val="2"/>
          </rPr>
          <t xml:space="preserve">Vinci FY2025 Consolidated Financial Statements, p.7.</t>
        </r>
      </text>
    </comment>
    <comment ref="C149" authorId="0">
      <text>
        <r>
          <rPr>
            <sz val="10"/>
            <rFont val="Arial"/>
            <family val="2"/>
          </rPr>
          <t xml:space="preserve">This is the capex figure used in the DCF UFCF build — excludes M&amp;A ("purchases of shares in subsidiaries"), which is discretionary, not organic reinvestment.</t>
        </r>
      </text>
    </comment>
    <comment ref="C150" authorId="0">
      <text>
        <r>
          <rPr>
            <sz val="10"/>
            <rFont val="Arial"/>
            <family val="2"/>
          </rPr>
          <t xml:space="preserve">Vinci FY2025 Consolidated Financial Statements, p.7.</t>
        </r>
      </text>
    </comment>
    <comment ref="C151" authorId="0">
      <text>
        <r>
          <rPr>
            <sz val="10"/>
            <rFont val="Arial"/>
            <family val="2"/>
          </rPr>
          <t xml:space="preserve">Vinci FY2025 Consolidated Financial Statements, p.7.</t>
        </r>
      </text>
    </comment>
    <comment ref="C152" authorId="0">
      <text>
        <r>
          <rPr>
            <sz val="10"/>
            <rFont val="Arial"/>
            <family val="2"/>
          </rPr>
          <t xml:space="preserve">Vinci FY2025 Consolidated Financial Statements, p.7.</t>
        </r>
      </text>
    </comment>
    <comment ref="C155" authorId="0">
      <text>
        <r>
          <rPr>
            <sz val="10"/>
            <rFont val="Arial"/>
            <family val="2"/>
          </rPr>
          <t xml:space="preserve">Vinci FY2025 Consolidated Financial Statements, p.7 — reported subtotal (hardcode, not a formula sum).</t>
        </r>
      </text>
    </comment>
    <comment ref="C159" authorId="0">
      <text>
        <r>
          <rPr>
            <sz val="10"/>
            <rFont val="Arial"/>
            <family val="2"/>
          </rPr>
          <t xml:space="preserve">Vinci FY2025 Consolidated Financial Statements, p.7.</t>
        </r>
      </text>
    </comment>
    <comment ref="C160" authorId="0">
      <text>
        <r>
          <rPr>
            <sz val="10"/>
            <rFont val="Arial"/>
            <family val="2"/>
          </rPr>
          <t xml:space="preserve">Vinci FY2025 Consolidated Financial Statements, p.7.</t>
        </r>
      </text>
    </comment>
    <comment ref="C161" authorId="0">
      <text>
        <r>
          <rPr>
            <sz val="10"/>
            <rFont val="Arial"/>
            <family val="2"/>
          </rPr>
          <t xml:space="preserve">Vinci FY2025 Consolidated Financial Statements, p.7.</t>
        </r>
      </text>
    </comment>
    <comment ref="C162" authorId="0">
      <text>
        <r>
          <rPr>
            <sz val="10"/>
            <rFont val="Arial"/>
            <family val="2"/>
          </rPr>
          <t xml:space="preserve">CORRECTED from -67 to -19. Vinci FY2025 Consolidated Financial Statements, p.7: "Acquisitions/disposals of non-controlling interests (without acquisition or loss of control)" = EUR (19)m. This was the exact source of the EUR 48m financing-section tie-out gap flagged earlier -67 vs -19 = 48. Verified directly against the PDF (vinci-consolidated-financial-statements-at-31-december-2025-en.pdf), 4-Jul-2026.</t>
        </r>
      </text>
    </comment>
    <comment ref="C169" authorId="0">
      <text>
        <r>
          <rPr>
            <sz val="10"/>
            <rFont val="Arial"/>
            <family val="2"/>
          </rPr>
          <t xml:space="preserve">Vinci FY2025 Consolidated Financial Statements, p.7 — reported subtotal (hardcode, not a formula sum).</t>
        </r>
      </text>
    </comment>
    <comment ref="C170" authorId="0">
      <text>
        <r>
          <rPr>
            <sz val="10"/>
            <rFont val="Arial"/>
            <family val="2"/>
          </rPr>
          <t xml:space="preserve">FLAG: as extracted, the line items sum to a figure ~EUR 48m away from Vinci's reported financing subtotal — too large to be simple independent-rounding noise (contrast with the +/-1 to +/-2 seen elsewhere in this workbook). Before relying on this section, verify the individual financing lines (especially "Repayments of long-term borrowings" and "Change in cash management assets") against p.7 of the FY2025 Consolidated Financial Statements directly — this is exactly the kind of discrepancy the methodology (Sec.9) says to trace immediately rather than paper over. The reported subtotal (-4,270/-3,027) is used as the hardcode above so downstream figures (Change in net cash) still tie to Vinci's own published cash reconciliation.</t>
        </r>
      </text>
    </comment>
    <comment ref="C173" authorId="0">
      <text>
        <r>
          <rPr>
            <sz val="10"/>
            <rFont val="Arial"/>
            <family val="2"/>
          </rPr>
          <t xml:space="preserve">Check: should equal EUR 2,363m (FY25)/EUR (404)m (FY24) as reported.</t>
        </r>
      </text>
    </comment>
    <comment ref="C175" authorId="0">
      <text>
        <r>
          <rPr>
            <sz val="10"/>
            <rFont val="Arial"/>
            <family val="2"/>
          </rPr>
          <t xml:space="preserve">NOTE: this "net cash" figure (CFS definition) does not equal the Balance Sheet's "Cash and cash equivalents" line (EUR 17,254m) — Vinci's CFS nets out bank overdrafts and other short-term items embedded within Current borrowings on the BS. This is a normal, disclosed reconciling difference, not an error; do not force these two figures to tie without adjusting for that netting.</t>
        </r>
      </text>
    </comment>
    <comment ref="C181" authorId="0">
      <text>
        <r>
          <rPr>
            <sz val="10"/>
            <rFont val="Arial"/>
            <family val="2"/>
          </rPr>
          <t xml:space="preserve">Negative NWC = Vinci is working-capital cash-generative (advance payments typical of construction/concessions). Cross-check: implied change (2024-&gt;2025) is consistent with the EUR 2,496m "changes in operating working capital" line in the Cash Flow Statement above (Section 3).</t>
        </r>
      </text>
    </comment>
    <comment ref="C186" authorId="0">
      <text>
        <r>
          <rPr>
            <sz val="10"/>
            <rFont val="Arial"/>
            <family val="2"/>
          </rPr>
          <t xml:space="preserve">Vinci FY2025 Consolidated Financial Statements, p.61 (dedicated Net Debt note). Negative = liability. Cross-check vs. Balance Sheet: Bonds (row 97) + Other loans NC + Current borrowings (row 112) = 24,787+5,185+6,740 = 36,712 — ties out exactly.</t>
        </r>
      </text>
    </comment>
    <comment ref="C188" authorId="0">
      <text>
        <r>
          <rPr>
            <sz val="10"/>
            <rFont val="Arial"/>
            <family val="2"/>
          </rPr>
          <t xml:space="preserve">Vinci FY2025 Consolidated Financial Statements, p.61. Per the note's own definition — not a simple sum of all BS financial-asset lines, which include items (e.g. non-current financial assets) the note may treat differently.</t>
        </r>
      </text>
    </comment>
    <comment ref="C189" authorId="0">
      <text>
        <r>
          <rPr>
            <sz val="10"/>
            <rFont val="Arial"/>
            <family val="2"/>
          </rPr>
          <t xml:space="preserve">Vinci FY2025 Consolidated Financial Statements, p.61.</t>
        </r>
      </text>
    </comment>
    <comment ref="C195" authorId="0">
      <text>
        <r>
          <rPr>
            <sz val="10"/>
            <rFont val="Arial"/>
            <family val="2"/>
          </rPr>
          <t xml:space="preserve">stockanalysis.com, DG (Euronext Paris), queried 4-Jul-2026.</t>
        </r>
      </text>
    </comment>
    <comment ref="C196" authorId="0">
      <text>
        <r>
          <rPr>
            <sz val="10"/>
            <rFont val="Arial"/>
            <family val="2"/>
          </rPr>
          <t xml:space="preserve">stockanalysis.com, DG, queried 4-Jul-2026.</t>
        </r>
      </text>
    </comment>
    <comment ref="C198" authorId="0">
      <text>
        <r>
          <rPr>
            <sz val="10"/>
            <rFont val="Arial"/>
            <family val="2"/>
          </rPr>
          <t xml:space="preserve">stockanalysis.com. Cross-check against implied diluted shares from EPS (Section 1): gap explained by FY25 weighted-average share count (EPS basis) vs. current point-in-time count, given Vinci's recurring buyback programme.</t>
        </r>
      </text>
    </comment>
    <comment ref="C205" authorId="0">
      <text>
        <r>
          <rPr>
            <sz val="10"/>
            <rFont val="Arial"/>
            <family val="2"/>
          </rPr>
          <t xml:space="preserve">UPDATED from the single-bond ASF proxy (3.40%) to Vinci's own officially disclosed figure: "the average cost of long-term gross financial debt was 4.4% in 2025 (4.9% in 2024)" — Vinci FY2025 Consolidated Financial Statements, p.27 (Note 5). This is a stronger source than a single bond's market yield: it reflects the actual blended cost across Vinci's entire ~EUR 35bn long-term debt book, directly disclosed by the company, dated and audited. The ASF 3.375% 2034 bond (row 202-204 above) is kept as a supporting market cross-check, not the primary input.</t>
        </r>
      </text>
    </comment>
    <comment ref="E7" authorId="0">
      <text>
        <r>
          <rPr>
            <sz val="10"/>
            <rFont val="Arial"/>
            <family val="2"/>
          </rPr>
          <t xml:space="preserve">FY2023 data as provided by user (Vinci FY2023 Income Statement).</t>
        </r>
      </text>
    </comment>
    <comment ref="E8" authorId="0">
      <text>
        <r>
          <rPr>
            <sz val="10"/>
            <rFont val="Arial"/>
            <family val="2"/>
          </rPr>
          <t xml:space="preserve">FY2023 data as provided by user (Vinci FY2023 Income Statement).</t>
        </r>
      </text>
    </comment>
    <comment ref="E9" authorId="0">
      <text>
        <r>
          <rPr>
            <sz val="10"/>
            <rFont val="Arial"/>
            <family val="2"/>
          </rPr>
          <t xml:space="preserve">FY2023 data as provided by user (Vinci FY2023 Income Statement).</t>
        </r>
      </text>
    </comment>
    <comment ref="E12" authorId="0">
      <text>
        <r>
          <rPr>
            <sz val="10"/>
            <rFont val="Arial"/>
            <family val="2"/>
          </rPr>
          <t xml:space="preserve">FY2023 data as provided by user (Vinci FY2023 Income Statement).</t>
        </r>
      </text>
    </comment>
    <comment ref="E13" authorId="0">
      <text>
        <r>
          <rPr>
            <sz val="10"/>
            <rFont val="Arial"/>
            <family val="2"/>
          </rPr>
          <t xml:space="preserve">FY2023 data as provided by user (Vinci FY2023 Income Statement).</t>
        </r>
      </text>
    </comment>
    <comment ref="E14" authorId="0">
      <text>
        <r>
          <rPr>
            <sz val="10"/>
            <rFont val="Arial"/>
            <family val="2"/>
          </rPr>
          <t xml:space="preserve">FY2023 data as provided by user (Vinci FY2023 Income Statement).</t>
        </r>
      </text>
    </comment>
    <comment ref="E18" authorId="0">
      <text>
        <r>
          <rPr>
            <sz val="10"/>
            <rFont val="Arial"/>
            <family val="2"/>
          </rPr>
          <t xml:space="preserve">FY2023 data as provided by user (Vinci FY2023 Income Statement).</t>
        </r>
      </text>
    </comment>
    <comment ref="E19" authorId="0">
      <text>
        <r>
          <rPr>
            <sz val="10"/>
            <rFont val="Arial"/>
            <family val="2"/>
          </rPr>
          <t xml:space="preserve">FY2023 data as provided by user (Vinci FY2023 Income Statement).</t>
        </r>
      </text>
    </comment>
    <comment ref="E20" authorId="0">
      <text>
        <r>
          <rPr>
            <sz val="10"/>
            <rFont val="Arial"/>
            <family val="2"/>
          </rPr>
          <t xml:space="preserve">FY2023 data as provided by user (Vinci FY2023 Income Statement).</t>
        </r>
      </text>
    </comment>
    <comment ref="E21" authorId="0">
      <text>
        <r>
          <rPr>
            <sz val="10"/>
            <rFont val="Arial"/>
            <family val="2"/>
          </rPr>
          <t xml:space="preserve">FY2023 data as provided by user (Vinci FY2023 Income Statement).</t>
        </r>
      </text>
    </comment>
    <comment ref="E22" authorId="0">
      <text>
        <r>
          <rPr>
            <sz val="10"/>
            <rFont val="Arial"/>
            <family val="2"/>
          </rPr>
          <t xml:space="preserve">FY2023 data as provided by user (Vinci FY2023 Income Statement).</t>
        </r>
      </text>
    </comment>
    <comment ref="E23" authorId="0">
      <text>
        <r>
          <rPr>
            <sz val="10"/>
            <rFont val="Arial"/>
            <family val="2"/>
          </rPr>
          <t xml:space="preserve">FY2023 data as provided by user (Vinci FY2023 Income Statement).</t>
        </r>
      </text>
    </comment>
    <comment ref="E25" authorId="0">
      <text>
        <r>
          <rPr>
            <sz val="10"/>
            <rFont val="Arial"/>
            <family val="2"/>
          </rPr>
          <t xml:space="preserve">FY2023 data as provided by user (Vinci FY2023 Income Statement).</t>
        </r>
      </text>
    </comment>
    <comment ref="E26" authorId="0">
      <text>
        <r>
          <rPr>
            <sz val="10"/>
            <rFont val="Arial"/>
            <family val="2"/>
          </rPr>
          <t xml:space="preserve">FY2023 data as provided by user (Vinci FY2023 Income Statement).</t>
        </r>
      </text>
    </comment>
    <comment ref="E27" authorId="0">
      <text>
        <r>
          <rPr>
            <sz val="10"/>
            <rFont val="Arial"/>
            <family val="2"/>
          </rPr>
          <t xml:space="preserve">FY2023 data as provided by user (Vinci FY2023 Income Statement).</t>
        </r>
      </text>
    </comment>
    <comment ref="E28" authorId="0">
      <text>
        <r>
          <rPr>
            <sz val="10"/>
            <rFont val="Arial"/>
            <family val="2"/>
          </rPr>
          <t xml:space="preserve">FY2023 data as provided by user (Vinci FY2023 Income Statement).</t>
        </r>
      </text>
    </comment>
    <comment ref="E30" authorId="0">
      <text>
        <r>
          <rPr>
            <sz val="10"/>
            <rFont val="Arial"/>
            <family val="2"/>
          </rPr>
          <t xml:space="preserve">FY2023 data as provided by user (Vinci FY2023 Income Statement).</t>
        </r>
      </text>
    </comment>
    <comment ref="E32" authorId="0">
      <text>
        <r>
          <rPr>
            <sz val="10"/>
            <rFont val="Arial"/>
            <family val="2"/>
          </rPr>
          <t xml:space="preserve">FY2023 data as provided by user (Vinci FY2023 Income Statement).</t>
        </r>
      </text>
    </comment>
    <comment ref="E33" authorId="0">
      <text>
        <r>
          <rPr>
            <sz val="10"/>
            <rFont val="Arial"/>
            <family val="2"/>
          </rPr>
          <t xml:space="preserve">FY2023 data as provided by user (Vinci FY2023 Income Statement).</t>
        </r>
      </text>
    </comment>
    <comment ref="E34" authorId="0">
      <text>
        <r>
          <rPr>
            <sz val="10"/>
            <rFont val="Arial"/>
            <family val="2"/>
          </rPr>
          <t xml:space="preserve">FY2023 data as provided by user (Vinci FY2023 Income Statement).</t>
        </r>
      </text>
    </comment>
    <comment ref="E36" authorId="0">
      <text>
        <r>
          <rPr>
            <sz val="10"/>
            <rFont val="Arial"/>
            <family val="2"/>
          </rPr>
          <t xml:space="preserve">FY2023 data as provided by user (Vinci FY2023 Income Statement). Sign flipped to positive magnitude to match this row's convention (source gave -3,799).</t>
        </r>
      </text>
    </comment>
    <comment ref="E42" authorId="0">
      <text>
        <r>
          <rPr>
            <sz val="10"/>
            <rFont val="Arial"/>
            <family val="2"/>
          </rPr>
          <t xml:space="preserve">FY2023 data as provided by user (Vinci FY2023 Income Statement).</t>
        </r>
      </text>
    </comment>
    <comment ref="E43" authorId="0">
      <text>
        <r>
          <rPr>
            <sz val="10"/>
            <rFont val="Arial"/>
            <family val="2"/>
          </rPr>
          <t xml:space="preserve">FY2023 data as provided by user (Vinci FY2023 Income Statement).</t>
        </r>
      </text>
    </comment>
    <comment ref="E59" authorId="0">
      <text>
        <r>
          <rPr>
            <sz val="10"/>
            <rFont val="Arial"/>
            <family val="2"/>
          </rPr>
          <t xml:space="preserve">FY2023 data as provided by user (Vinci FY2023 Balance Sheet, 31-Dec-2023).</t>
        </r>
      </text>
    </comment>
    <comment ref="E60" authorId="0">
      <text>
        <r>
          <rPr>
            <sz val="10"/>
            <rFont val="Arial"/>
            <family val="2"/>
          </rPr>
          <t xml:space="preserve">FY2023 data as provided by user (Vinci FY2023 Balance Sheet, 31-Dec-2023).</t>
        </r>
      </text>
    </comment>
    <comment ref="E61" authorId="0">
      <text>
        <r>
          <rPr>
            <sz val="10"/>
            <rFont val="Arial"/>
            <family val="2"/>
          </rPr>
          <t xml:space="preserve">FY2023 data as provided by user (Vinci FY2023 Balance Sheet, 31-Dec-2023).</t>
        </r>
      </text>
    </comment>
    <comment ref="E62" authorId="0">
      <text>
        <r>
          <rPr>
            <sz val="10"/>
            <rFont val="Arial"/>
            <family val="2"/>
          </rPr>
          <t xml:space="preserve">FY2023 data as provided by user (Vinci FY2023 Balance Sheet, 31-Dec-2023).</t>
        </r>
      </text>
    </comment>
    <comment ref="E63" authorId="0">
      <text>
        <r>
          <rPr>
            <sz val="10"/>
            <rFont val="Arial"/>
            <family val="2"/>
          </rPr>
          <t xml:space="preserve">FY2023 data as provided by user (Vinci FY2023 Balance Sheet, 31-Dec-2023).</t>
        </r>
      </text>
    </comment>
    <comment ref="E64" authorId="0">
      <text>
        <r>
          <rPr>
            <sz val="10"/>
            <rFont val="Arial"/>
            <family val="2"/>
          </rPr>
          <t xml:space="preserve">FY2023 data as provided by user (Vinci FY2023 Balance Sheet, 31-Dec-2023).</t>
        </r>
      </text>
    </comment>
    <comment ref="E65" authorId="0">
      <text>
        <r>
          <rPr>
            <sz val="10"/>
            <rFont val="Arial"/>
            <family val="2"/>
          </rPr>
          <t xml:space="preserve">FY2023 data as provided by user (Vinci FY2023 Balance Sheet, 31-Dec-2023).</t>
        </r>
      </text>
    </comment>
    <comment ref="E66" authorId="0">
      <text>
        <r>
          <rPr>
            <sz val="10"/>
            <rFont val="Arial"/>
            <family val="2"/>
          </rPr>
          <t xml:space="preserve">FY2023 data as provided by user (Vinci FY2023 Balance Sheet, 31-Dec-2023).</t>
        </r>
      </text>
    </comment>
    <comment ref="E70" authorId="0">
      <text>
        <r>
          <rPr>
            <sz val="10"/>
            <rFont val="Arial"/>
            <family val="2"/>
          </rPr>
          <t xml:space="preserve">FY2023 data as provided by user (Vinci FY2023 Balance Sheet, 31-Dec-2023).</t>
        </r>
      </text>
    </comment>
    <comment ref="E71" authorId="0">
      <text>
        <r>
          <rPr>
            <sz val="10"/>
            <rFont val="Arial"/>
            <family val="2"/>
          </rPr>
          <t xml:space="preserve">FY2023 data as provided by user (Vinci FY2023 Balance Sheet, 31-Dec-2023).</t>
        </r>
      </text>
    </comment>
    <comment ref="E72" authorId="0">
      <text>
        <r>
          <rPr>
            <sz val="10"/>
            <rFont val="Arial"/>
            <family val="2"/>
          </rPr>
          <t xml:space="preserve">FY2023 data as provided by user (Vinci FY2023 Balance Sheet, 31-Dec-2023).</t>
        </r>
      </text>
    </comment>
    <comment ref="E73" authorId="0">
      <text>
        <r>
          <rPr>
            <sz val="10"/>
            <rFont val="Arial"/>
            <family val="2"/>
          </rPr>
          <t xml:space="preserve">FY2023 data as provided by user (Vinci FY2023 Balance Sheet, 31-Dec-2023).</t>
        </r>
      </text>
    </comment>
    <comment ref="E74" authorId="0">
      <text>
        <r>
          <rPr>
            <sz val="10"/>
            <rFont val="Arial"/>
            <family val="2"/>
          </rPr>
          <t xml:space="preserve">FY2023 data as provided by user (Vinci FY2023 Balance Sheet, 31-Dec-2023).</t>
        </r>
      </text>
    </comment>
    <comment ref="E75" authorId="0">
      <text>
        <r>
          <rPr>
            <sz val="10"/>
            <rFont val="Arial"/>
            <family val="2"/>
          </rPr>
          <t xml:space="preserve">FY2023 data as provided by user (Vinci FY2023 Balance Sheet, 31-Dec-2023).</t>
        </r>
      </text>
    </comment>
    <comment ref="E76" authorId="0">
      <text>
        <r>
          <rPr>
            <sz val="10"/>
            <rFont val="Arial"/>
            <family val="2"/>
          </rPr>
          <t xml:space="preserve">FY2023 data as provided by user (Vinci FY2023 Balance Sheet, 31-Dec-2023).</t>
        </r>
      </text>
    </comment>
    <comment ref="E77" authorId="0">
      <text>
        <r>
          <rPr>
            <sz val="10"/>
            <rFont val="Arial"/>
            <family val="2"/>
          </rPr>
          <t xml:space="preserve">FY2023 data as provided by user (Vinci FY2023 Balance Sheet, 31-Dec-2023).</t>
        </r>
      </text>
    </comment>
    <comment ref="E79" authorId="0">
      <text>
        <r>
          <rPr>
            <sz val="10"/>
            <rFont val="Arial"/>
            <family val="2"/>
          </rPr>
          <t xml:space="preserve">FY2023 data as provided by user (Vinci FY2023 Balance Sheet, 31-Dec-2023).</t>
        </r>
      </text>
    </comment>
    <comment ref="E83" authorId="0">
      <text>
        <r>
          <rPr>
            <sz val="10"/>
            <rFont val="Arial"/>
            <family val="2"/>
          </rPr>
          <t xml:space="preserve">FY2023 data as provided by user (Vinci FY2023 Balance Sheet, 31-Dec-2023).</t>
        </r>
      </text>
    </comment>
    <comment ref="E84" authorId="0">
      <text>
        <r>
          <rPr>
            <sz val="10"/>
            <rFont val="Arial"/>
            <family val="2"/>
          </rPr>
          <t xml:space="preserve">FY2023 data as provided by user (Vinci FY2023 Balance Sheet, 31-Dec-2023).</t>
        </r>
      </text>
    </comment>
    <comment ref="E85" authorId="0">
      <text>
        <r>
          <rPr>
            <sz val="10"/>
            <rFont val="Arial"/>
            <family val="2"/>
          </rPr>
          <t xml:space="preserve">FY2023 data as provided by user (Vinci FY2023 Balance Sheet, 31-Dec-2023).</t>
        </r>
      </text>
    </comment>
    <comment ref="E86" authorId="0">
      <text>
        <r>
          <rPr>
            <sz val="10"/>
            <rFont val="Arial"/>
            <family val="2"/>
          </rPr>
          <t xml:space="preserve">FY2023 data as provided by user (Vinci FY2023 Balance Sheet, 31-Dec-2023).</t>
        </r>
      </text>
    </comment>
    <comment ref="E87" authorId="0">
      <text>
        <r>
          <rPr>
            <sz val="10"/>
            <rFont val="Arial"/>
            <family val="2"/>
          </rPr>
          <t xml:space="preserve">FY2023 data as provided by user (Vinci FY2023 Balance Sheet, 31-Dec-2023).</t>
        </r>
      </text>
    </comment>
    <comment ref="E88" authorId="0">
      <text>
        <r>
          <rPr>
            <sz val="10"/>
            <rFont val="Arial"/>
            <family val="2"/>
          </rPr>
          <t xml:space="preserve">FY2023 data as provided by user (Vinci FY2023 Balance Sheet, 31-Dec-2023).</t>
        </r>
      </text>
    </comment>
    <comment ref="E89" authorId="0">
      <text>
        <r>
          <rPr>
            <sz val="10"/>
            <rFont val="Arial"/>
            <family val="2"/>
          </rPr>
          <t xml:space="preserve">FY2023 data as provided by user (Vinci FY2023 Balance Sheet, 31-Dec-2023).</t>
        </r>
      </text>
    </comment>
    <comment ref="E91" authorId="0">
      <text>
        <r>
          <rPr>
            <sz val="10"/>
            <rFont val="Arial"/>
            <family val="2"/>
          </rPr>
          <t xml:space="preserve">FY2023 data as provided by user (Vinci FY2023 Balance Sheet, 31-Dec-2023).</t>
        </r>
      </text>
    </comment>
    <comment ref="E95" authorId="0">
      <text>
        <r>
          <rPr>
            <sz val="10"/>
            <rFont val="Arial"/>
            <family val="2"/>
          </rPr>
          <t xml:space="preserve">FY2023 data as provided by user (Vinci FY2023 Balance Sheet, 31-Dec-2023).</t>
        </r>
      </text>
    </comment>
    <comment ref="E96" authorId="0">
      <text>
        <r>
          <rPr>
            <sz val="10"/>
            <rFont val="Arial"/>
            <family val="2"/>
          </rPr>
          <t xml:space="preserve">FY2023 data as provided by user (Vinci FY2023 Balance Sheet, 31-Dec-2023).</t>
        </r>
      </text>
    </comment>
    <comment ref="E97" authorId="0">
      <text>
        <r>
          <rPr>
            <sz val="10"/>
            <rFont val="Arial"/>
            <family val="2"/>
          </rPr>
          <t xml:space="preserve">FY2023 data as provided by user (Vinci FY2023 Balance Sheet, 31-Dec-2023).</t>
        </r>
      </text>
    </comment>
    <comment ref="E98" authorId="0">
      <text>
        <r>
          <rPr>
            <sz val="10"/>
            <rFont val="Arial"/>
            <family val="2"/>
          </rPr>
          <t xml:space="preserve">FY2023 data as provided by user (Vinci FY2023 Balance Sheet, 31-Dec-2023).</t>
        </r>
      </text>
    </comment>
    <comment ref="E99" authorId="0">
      <text>
        <r>
          <rPr>
            <sz val="10"/>
            <rFont val="Arial"/>
            <family val="2"/>
          </rPr>
          <t xml:space="preserve">FY2023 data as provided by user (Vinci FY2023 Balance Sheet, 31-Dec-2023).</t>
        </r>
      </text>
    </comment>
    <comment ref="E100" authorId="0">
      <text>
        <r>
          <rPr>
            <sz val="10"/>
            <rFont val="Arial"/>
            <family val="2"/>
          </rPr>
          <t xml:space="preserve">FY2023 data as provided by user (Vinci FY2023 Balance Sheet, 31-Dec-2023).</t>
        </r>
      </text>
    </comment>
    <comment ref="E101" authorId="0">
      <text>
        <r>
          <rPr>
            <sz val="10"/>
            <rFont val="Arial"/>
            <family val="2"/>
          </rPr>
          <t xml:space="preserve">FY2023 data as provided by user (Vinci FY2023 Balance Sheet, 31-Dec-2023).</t>
        </r>
      </text>
    </comment>
    <comment ref="E102" authorId="0">
      <text>
        <r>
          <rPr>
            <sz val="10"/>
            <rFont val="Arial"/>
            <family val="2"/>
          </rPr>
          <t xml:space="preserve">FY2023 data as provided by user (Vinci FY2023 Balance Sheet, 31-Dec-2023).</t>
        </r>
      </text>
    </comment>
    <comment ref="E106" authorId="0">
      <text>
        <r>
          <rPr>
            <sz val="10"/>
            <rFont val="Arial"/>
            <family val="2"/>
          </rPr>
          <t xml:space="preserve">FY2023 data as provided by user (Vinci FY2023 Balance Sheet, 31-Dec-2023).</t>
        </r>
      </text>
    </comment>
    <comment ref="E107" authorId="0">
      <text>
        <r>
          <rPr>
            <sz val="10"/>
            <rFont val="Arial"/>
            <family val="2"/>
          </rPr>
          <t xml:space="preserve">FY2023 data as provided by user (Vinci FY2023 Balance Sheet, 31-Dec-2023).</t>
        </r>
      </text>
    </comment>
    <comment ref="E108" authorId="0">
      <text>
        <r>
          <rPr>
            <sz val="10"/>
            <rFont val="Arial"/>
            <family val="2"/>
          </rPr>
          <t xml:space="preserve">FY2023 data as provided by user (Vinci FY2023 Balance Sheet, 31-Dec-2023).</t>
        </r>
      </text>
    </comment>
    <comment ref="E109" authorId="0">
      <text>
        <r>
          <rPr>
            <sz val="10"/>
            <rFont val="Arial"/>
            <family val="2"/>
          </rPr>
          <t xml:space="preserve">FY2023 data as provided by user (Vinci FY2023 Balance Sheet, 31-Dec-2023).</t>
        </r>
      </text>
    </comment>
    <comment ref="E110" authorId="0">
      <text>
        <r>
          <rPr>
            <sz val="10"/>
            <rFont val="Arial"/>
            <family val="2"/>
          </rPr>
          <t xml:space="preserve">FY2023 data as provided by user (Vinci FY2023 Balance Sheet, 31-Dec-2023).</t>
        </r>
      </text>
    </comment>
    <comment ref="E111" authorId="0">
      <text>
        <r>
          <rPr>
            <sz val="10"/>
            <rFont val="Arial"/>
            <family val="2"/>
          </rPr>
          <t xml:space="preserve">FY2023 data as provided by user (Vinci FY2023 Balance Sheet, 31-Dec-2023).</t>
        </r>
      </text>
    </comment>
    <comment ref="E112" authorId="0">
      <text>
        <r>
          <rPr>
            <sz val="10"/>
            <rFont val="Arial"/>
            <family val="2"/>
          </rPr>
          <t xml:space="preserve">FY2023 data as provided by user (Vinci FY2023 Balance Sheet, 31-Dec-2023).</t>
        </r>
      </text>
    </comment>
    <comment ref="E114" authorId="0">
      <text>
        <r>
          <rPr>
            <sz val="10"/>
            <rFont val="Arial"/>
            <family val="2"/>
          </rPr>
          <t xml:space="preserve">FY2023 data as provided by user (Vinci FY2023 Balance Sheet, 31-Dec-2023).</t>
        </r>
      </text>
    </comment>
    <comment ref="E122" authorId="0">
      <text>
        <r>
          <rPr>
            <sz val="10"/>
            <rFont val="Arial"/>
            <family val="2"/>
          </rPr>
          <t xml:space="preserve">FY2023 data as provided by user (Vinci FY2023 Cash Flow Statement).</t>
        </r>
      </text>
    </comment>
    <comment ref="E123" authorId="0">
      <text>
        <r>
          <rPr>
            <sz val="10"/>
            <rFont val="Arial"/>
            <family val="2"/>
          </rPr>
          <t xml:space="preserve">FY2023 data as provided by user (Vinci FY2023 Cash Flow Statement).</t>
        </r>
      </text>
    </comment>
    <comment ref="E124" authorId="0">
      <text>
        <r>
          <rPr>
            <sz val="10"/>
            <rFont val="Arial"/>
            <family val="2"/>
          </rPr>
          <t xml:space="preserve">FY2023 data as provided by user (Vinci FY2023 Cash Flow Statement).</t>
        </r>
      </text>
    </comment>
    <comment ref="E125" authorId="0">
      <text>
        <r>
          <rPr>
            <sz val="10"/>
            <rFont val="Arial"/>
            <family val="2"/>
          </rPr>
          <t xml:space="preserve">FY2023 data as provided by user (Vinci FY2023 Cash Flow Statement).</t>
        </r>
      </text>
    </comment>
    <comment ref="E126" authorId="0">
      <text>
        <r>
          <rPr>
            <sz val="10"/>
            <rFont val="Arial"/>
            <family val="2"/>
          </rPr>
          <t xml:space="preserve">FY2023 data as provided by user (Vinci FY2023 Cash Flow Statement).</t>
        </r>
      </text>
    </comment>
    <comment ref="E127" authorId="0">
      <text>
        <r>
          <rPr>
            <sz val="10"/>
            <rFont val="Arial"/>
            <family val="2"/>
          </rPr>
          <t xml:space="preserve">FY2023 data as provided by user (Vinci FY2023 Cash Flow Statement).</t>
        </r>
      </text>
    </comment>
    <comment ref="E128" authorId="0">
      <text>
        <r>
          <rPr>
            <sz val="10"/>
            <rFont val="Arial"/>
            <family val="2"/>
          </rPr>
          <t xml:space="preserve">FY2023 data as provided by user (Vinci FY2023 Cash Flow Statement).</t>
        </r>
      </text>
    </comment>
    <comment ref="E129" authorId="0">
      <text>
        <r>
          <rPr>
            <sz val="10"/>
            <rFont val="Arial"/>
            <family val="2"/>
          </rPr>
          <t xml:space="preserve">FY2023 data as provided by user (Vinci FY2023 Cash Flow Statement).</t>
        </r>
      </text>
    </comment>
    <comment ref="E130" authorId="0">
      <text>
        <r>
          <rPr>
            <sz val="10"/>
            <rFont val="Arial"/>
            <family val="2"/>
          </rPr>
          <t xml:space="preserve">FY2023 data as provided by user (Vinci FY2023 Cash Flow Statement).</t>
        </r>
      </text>
    </comment>
    <comment ref="E131" authorId="0">
      <text>
        <r>
          <rPr>
            <sz val="10"/>
            <rFont val="Arial"/>
            <family val="2"/>
          </rPr>
          <t xml:space="preserve">FY2023 data as provided by user (Vinci FY2023 Cash Flow Statement).</t>
        </r>
      </text>
    </comment>
    <comment ref="E132" authorId="0">
      <text>
        <r>
          <rPr>
            <sz val="10"/>
            <rFont val="Arial"/>
            <family val="2"/>
          </rPr>
          <t xml:space="preserve">FY2023 data as provided by user (Vinci FY2023 Cash Flow Statement).</t>
        </r>
      </text>
    </comment>
    <comment ref="E134" authorId="0">
      <text>
        <r>
          <rPr>
            <sz val="10"/>
            <rFont val="Arial"/>
            <family val="2"/>
          </rPr>
          <t xml:space="preserve">FY2023 data as provided by user (Vinci FY2023 Cash Flow Statement).</t>
        </r>
      </text>
    </comment>
    <comment ref="E135" authorId="0">
      <text>
        <r>
          <rPr>
            <sz val="10"/>
            <rFont val="Arial"/>
            <family val="2"/>
          </rPr>
          <t xml:space="preserve">FY2023 data as provided by user (Vinci FY2023 Cash Flow Statement).</t>
        </r>
      </text>
    </comment>
    <comment ref="E136" authorId="0">
      <text>
        <r>
          <rPr>
            <sz val="10"/>
            <rFont val="Arial"/>
            <family val="2"/>
          </rPr>
          <t xml:space="preserve">FY2023 data as provided by user (Vinci FY2023 Cash Flow Statement).</t>
        </r>
      </text>
    </comment>
    <comment ref="E137" authorId="0">
      <text>
        <r>
          <rPr>
            <sz val="10"/>
            <rFont val="Arial"/>
            <family val="2"/>
          </rPr>
          <t xml:space="preserve">FY2023 data as provided by user (Vinci FY2023 Cash Flow Statement).</t>
        </r>
      </text>
    </comment>
    <comment ref="E138" authorId="0">
      <text>
        <r>
          <rPr>
            <sz val="10"/>
            <rFont val="Arial"/>
            <family val="2"/>
          </rPr>
          <t xml:space="preserve">FY2023 data as provided by user (Vinci FY2023 Cash Flow Statement).</t>
        </r>
      </text>
    </comment>
    <comment ref="E139" authorId="0">
      <text>
        <r>
          <rPr>
            <sz val="10"/>
            <rFont val="Arial"/>
            <family val="2"/>
          </rPr>
          <t xml:space="preserve">FY2023 data as provided by user (Vinci FY2023 Cash Flow Statement). Reported subtotal (hardcode).</t>
        </r>
      </text>
    </comment>
    <comment ref="E143" authorId="0">
      <text>
        <r>
          <rPr>
            <sz val="10"/>
            <rFont val="Arial"/>
            <family val="2"/>
          </rPr>
          <t xml:space="preserve">FY2023 data as provided by user (Vinci FY2023 Cash Flow Statement).</t>
        </r>
      </text>
    </comment>
    <comment ref="E144" authorId="0">
      <text>
        <r>
          <rPr>
            <sz val="10"/>
            <rFont val="Arial"/>
            <family val="2"/>
          </rPr>
          <t xml:space="preserve">FY2023 data as provided by user (Vinci FY2023 Cash Flow Statement).</t>
        </r>
      </text>
    </comment>
    <comment ref="E146" authorId="0">
      <text>
        <r>
          <rPr>
            <sz val="10"/>
            <rFont val="Arial"/>
            <family val="2"/>
          </rPr>
          <t xml:space="preserve">FY2023 data as provided by user (Vinci FY2023 Cash Flow Statement).</t>
        </r>
      </text>
    </comment>
    <comment ref="E147" authorId="0">
      <text>
        <r>
          <rPr>
            <sz val="10"/>
            <rFont val="Arial"/>
            <family val="2"/>
          </rPr>
          <t xml:space="preserve">FY2023 data as provided by user (Vinci FY2023 Cash Flow Statement).</t>
        </r>
      </text>
    </comment>
    <comment ref="E150" authorId="0">
      <text>
        <r>
          <rPr>
            <sz val="10"/>
            <rFont val="Arial"/>
            <family val="2"/>
          </rPr>
          <t xml:space="preserve">FY2023 data as provided by user (Vinci FY2023 Cash Flow Statement).</t>
        </r>
      </text>
    </comment>
    <comment ref="E151" authorId="0">
      <text>
        <r>
          <rPr>
            <sz val="10"/>
            <rFont val="Arial"/>
            <family val="2"/>
          </rPr>
          <t xml:space="preserve">FY2023 data as provided by user (Vinci FY2023 Cash Flow Statement).</t>
        </r>
      </text>
    </comment>
    <comment ref="E152" authorId="0">
      <text>
        <r>
          <rPr>
            <sz val="10"/>
            <rFont val="Arial"/>
            <family val="2"/>
          </rPr>
          <t xml:space="preserve">FY2023 data as provided by user (Vinci FY2023 Cash Flow Statement).</t>
        </r>
      </text>
    </comment>
    <comment ref="E154" authorId="0">
      <text>
        <r>
          <rPr>
            <sz val="10"/>
            <rFont val="Arial"/>
            <family val="2"/>
          </rPr>
          <t xml:space="preserve">FY2023 data as provided by user (Vinci FY2023 Cash Flow Statement).</t>
        </r>
      </text>
    </comment>
    <comment ref="E155" authorId="0">
      <text>
        <r>
          <rPr>
            <sz val="10"/>
            <rFont val="Arial"/>
            <family val="2"/>
          </rPr>
          <t xml:space="preserve">FY2023 data as provided by user (Vinci FY2023 Cash Flow Statement). Reported subtotal (hardcode).</t>
        </r>
      </text>
    </comment>
    <comment ref="E159" authorId="0">
      <text>
        <r>
          <rPr>
            <sz val="10"/>
            <rFont val="Arial"/>
            <family val="2"/>
          </rPr>
          <t xml:space="preserve">FY2023 data as provided by user (Vinci FY2023 Cash Flow Statement).</t>
        </r>
      </text>
    </comment>
    <comment ref="E160" authorId="0">
      <text>
        <r>
          <rPr>
            <sz val="10"/>
            <rFont val="Arial"/>
            <family val="2"/>
          </rPr>
          <t xml:space="preserve">FY2023 data as provided by user (Vinci FY2023 Cash Flow Statement).</t>
        </r>
      </text>
    </comment>
    <comment ref="E161" authorId="0">
      <text>
        <r>
          <rPr>
            <sz val="10"/>
            <rFont val="Arial"/>
            <family val="2"/>
          </rPr>
          <t xml:space="preserve">FY2023 data as provided by user (Vinci FY2023 Cash Flow Statement).</t>
        </r>
      </text>
    </comment>
    <comment ref="E162" authorId="0">
      <text>
        <r>
          <rPr>
            <sz val="10"/>
            <rFont val="Arial"/>
            <family val="2"/>
          </rPr>
          <t xml:space="preserve">CORRECTED from 0 (not disclosed) to -1. Source: Vinci 2024 Universal Registration Document, comparative FY2023 column: "Acquisitions/disposals of non-controlling interests (without acquisition or loss of control)" = EUR (1)m. Same URD confirms FY2024 = EUR (77)m, matching the value already used in column D.</t>
        </r>
      </text>
    </comment>
    <comment ref="E163" authorId="0">
      <text>
        <r>
          <rPr>
            <sz val="10"/>
            <rFont val="Arial"/>
            <family val="2"/>
          </rPr>
          <t xml:space="preserve">FY2023 data as provided by user (Vinci FY2023 Cash Flow Statement).</t>
        </r>
      </text>
    </comment>
    <comment ref="E164" authorId="0">
      <text>
        <r>
          <rPr>
            <sz val="10"/>
            <rFont val="Arial"/>
            <family val="2"/>
          </rPr>
          <t xml:space="preserve">FY2023 data as provided by user (Vinci FY2023 Cash Flow Statement).</t>
        </r>
      </text>
    </comment>
    <comment ref="E165" authorId="0">
      <text>
        <r>
          <rPr>
            <sz val="10"/>
            <rFont val="Arial"/>
            <family val="2"/>
          </rPr>
          <t xml:space="preserve">FY2023 data as provided by user (Vinci FY2023 Cash Flow Statement).</t>
        </r>
      </text>
    </comment>
    <comment ref="E166" authorId="0">
      <text>
        <r>
          <rPr>
            <sz val="10"/>
            <rFont val="Arial"/>
            <family val="2"/>
          </rPr>
          <t xml:space="preserve">FY2023 data as provided by user (Vinci FY2023 Cash Flow Statement).</t>
        </r>
      </text>
    </comment>
    <comment ref="E167" authorId="0">
      <text>
        <r>
          <rPr>
            <sz val="10"/>
            <rFont val="Arial"/>
            <family val="2"/>
          </rPr>
          <t xml:space="preserve">FY2023 data as provided by user (Vinci FY2023 Cash Flow Statement).</t>
        </r>
      </text>
    </comment>
    <comment ref="E168" authorId="0">
      <text>
        <r>
          <rPr>
            <sz val="10"/>
            <rFont val="Arial"/>
            <family val="2"/>
          </rPr>
          <t xml:space="preserve">FY2023 data as provided by user (Vinci FY2023 Cash Flow Statement).</t>
        </r>
      </text>
    </comment>
    <comment ref="E169" authorId="0">
      <text>
        <r>
          <rPr>
            <sz val="10"/>
            <rFont val="Arial"/>
            <family val="2"/>
          </rPr>
          <t xml:space="preserve">FY2023 data as provided by user (Vinci FY2023 Cash Flow Statement). Reported subtotal (hardcode).</t>
        </r>
      </text>
    </comment>
    <comment ref="E172" authorId="0">
      <text>
        <r>
          <rPr>
            <sz val="10"/>
            <rFont val="Arial"/>
            <family val="2"/>
          </rPr>
          <t xml:space="preserve">FY2023 data as provided by user (Vinci FY2023 Cash Flow Statement).</t>
        </r>
      </text>
    </comment>
    <comment ref="E174" authorId="0">
      <text>
        <r>
          <rPr>
            <sz val="10"/>
            <rFont val="Arial"/>
            <family val="2"/>
          </rPr>
          <t xml:space="preserve">FY2023 data as provided by user (Vinci FY2023 Cash Flow Statement).</t>
        </r>
      </text>
    </comment>
    <comment ref="E175" authorId="0">
      <text>
        <r>
          <rPr>
            <sz val="10"/>
            <rFont val="Arial"/>
            <family val="2"/>
          </rPr>
          <t xml:space="preserve">FY2023 data as provided by user (Vinci FY2023 Cash Flow Statement). Cross-check: ties exactly to FY2024's beginning-of-period cash figure already in column D — strong consistency signal across the two independently-provided datasets.</t>
        </r>
      </text>
    </comment>
    <comment ref="E186" authorId="0">
      <text>
        <r>
          <rPr>
            <sz val="10"/>
            <rFont val="Arial"/>
            <family val="2"/>
          </rPr>
          <t xml:space="preserve">FY2023 dedicated Net Debt note (page reconciliation) was not provided — derived instead from the Balance Sheet as Bonds + Other loans (non-current) + Current borrowings, mirroring the exact relationship validated for FY2024/FY2025 (where this BS-derived figure tied to the note exactly).</t>
        </r>
      </text>
    </comment>
    <comment ref="E190" authorId="0">
      <text>
        <r>
          <rPr>
            <sz val="10"/>
            <rFont val="Arial"/>
            <family val="2"/>
          </rPr>
          <t xml:space="preserve">Vinci FY2024 Universal Registration Document, Note 25 (Net financial debt roll-forward): "Net financial debt at end of period" for FY2023 = EUR (16,126)m. Cross-check: this exactly matches the same document's "Net financial debt at beginning of period" for FY2024 (16,126) — internally consistent roll-forward, confirmed 8-Jul-2026. Note: unlike FY2024/FY2025, the FY2023 gross debt/financial assets/derivatives BREAKDOWN (rows 186-189) was not provided, so only this final net figure is populated — the components above remain blank for FY2023.</t>
        </r>
      </text>
    </comment>
    <comment ref="E191" authorId="0">
      <text>
        <r>
          <rPr>
            <sz val="10"/>
            <rFont val="Arial"/>
            <family val="2"/>
          </rPr>
          <t xml:space="preserve">Not computed: FY2023 net debt requires the note-specific "Total financial assets" and "Net derivatives" figures (page 61-equivalent note), which were not part of the FY2023 dataset provided. Do not use 0 here — that would understate FY2023 net debt. If needed, source the FY2023 Annual Report's net debt reconciliation note directly.</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32" authorId="0">
      <text>
        <r>
          <rPr>
            <sz val="10"/>
            <rFont val="Arial"/>
            <family val="2"/>
          </rPr>
          <t xml:space="preserve">Prior-year (FY2024) NWC, needed as the base for the FY2025 change-in-NWC calc (D26).</t>
        </r>
      </text>
    </comment>
    <comment ref="C42" authorId="0">
      <text>
        <r>
          <rPr>
            <sz val="10"/>
            <rFont val="Arial"/>
            <family val="2"/>
          </rPr>
          <t xml:space="preserve">RECALIBRATED from 2.0% to 1.0%. The two terminal-value methods were diverging by 102% and failing the model integrity checks (implied exit multiple 15.4x, implied growth -2.3% from the other method). 1.0%, combined with a 10.5x exit multiple (I43), makes both methods internally consistent (agree within ~10%, both individually reasonable). NOTE: even after this fix, both methods still imply meaningful upside vs. the current trading price (see row 74) — this is the separate, already-documented finding that a bottom-up CAPM WACC for a low-beta infra name like Vinci tends to produce values above trading levels (see Reverse-DCF, row 112, showing a market-implied growth rate around -7% to -8%). Fixing the internal-consistency checks does not, and should not, force agreement with the market price — that would mean reverse-engineering assumptions to a target.</t>
        </r>
      </text>
    </comment>
    <comment ref="C60" authorId="0">
      <text>
        <r>
          <rPr>
            <sz val="10"/>
            <rFont val="Arial"/>
            <family val="2"/>
          </rPr>
          <t xml:space="preserve">Vinci does have NCI on the balance sheet/P&amp;L (Historicals row 33), but per WSP convention this line is for adding minority interests to the EV bridge when EV is built top-down from a controlling stake; since our EV already derives from 100%-consolidated UFCF, this stays at 0 to avoid double-counting.</t>
        </r>
      </text>
    </comment>
    <comment ref="C61" authorId="0">
      <text>
        <r>
          <rPr>
            <sz val="10"/>
            <rFont val="Arial"/>
            <family val="2"/>
          </rPr>
          <t xml:space="preserve">Vinci-specific line not in the Apple template: net derivatives are part of Vinci's own net financial debt reconciliation (Historicals Sec.3) — included here so this bridge ties out exactly to that reconciliation instead of silently missing EUR 869mm.</t>
        </r>
      </text>
    </comment>
    <comment ref="C65" authorId="0">
      <text>
        <r>
          <rPr>
            <sz val="10"/>
            <rFont val="Arial"/>
            <family val="2"/>
          </rPr>
          <t xml:space="preserve">Check: should equal Historicals!C191 (Net debt, positive convention) = Net financial debt reconciliation.</t>
        </r>
      </text>
    </comment>
    <comment ref="C104" authorId="0">
      <text>
        <r>
          <rPr>
            <sz val="10"/>
            <rFont val="Arial"/>
            <family val="2"/>
          </rPr>
          <t xml:space="preserve">stockanalysis.com, DG, queried 4-Jul-2026: 52-week range EUR 112.40 - 143.15.</t>
        </r>
      </text>
    </comment>
    <comment ref="C112" authorId="0">
      <text>
        <r>
          <rPr>
            <sz val="10"/>
            <rFont val="Arial"/>
            <family val="2"/>
          </rPr>
          <t xml:space="preserve">Compare to the 2.0% base-case assumption (C42). A materially lower/negative market-implied growth rate suggests the market prices in lower sustainable FCF growth or a higher risk premium than the CAPM beta captures — a known limitation of bottom-up WACC for low-beta infrastructure names.</t>
        </r>
      </text>
    </comment>
    <comment ref="D22" authorId="0">
      <text>
        <r>
          <rPr>
            <sz val="10"/>
            <rFont val="Arial"/>
            <family val="2"/>
          </rPr>
          <t xml:space="preserve">CORRECTED from the long-run rate (25.8%) to Vinci's own actual FY2025 effective tax rate (34.8%, Historicals!C50) — this is the "Actual" column, so it should show what genuinely happened in FY2025, not a forward-looking long-run assumption. Informational only: this column's Tax on EBIT / NOPAT do not feed the UFCF build, which is computed only for the E:I forecast columns.</t>
        </r>
      </text>
    </comment>
    <comment ref="E15" authorId="0">
      <text>
        <r>
          <rPr>
            <sz val="10"/>
            <rFont val="Arial"/>
            <family val="2"/>
          </rPr>
          <t xml:space="preserve">Illustrative forecast, moderating trajectory. 3-year historical revenue CAGR (FY23-FY25) is 4.10% (EUR 68,838m -&gt; 71,623m -&gt; 74,599m, Historicals Sec.1) — consistent with the 4.0% assumed for the first two forecast years, moderating to 3.0% by Year 5 as order-book-driven growth normalizes. To be refined further with segment-level revenue build per the extraction checklist.</t>
        </r>
      </text>
    </comment>
    <comment ref="E17" authorId="0">
      <text>
        <r>
          <rPr>
            <sz val="10"/>
            <rFont val="Arial"/>
            <family val="2"/>
          </rPr>
          <t xml:space="preserve">FY25 actual EBITDA margin (EBIT+D&amp;A basis) was 18.45% (Historicals Sec.1). Held broadly flat.</t>
        </r>
      </text>
    </comment>
    <comment ref="E19" authorId="0">
      <text>
        <r>
          <rPr>
            <sz val="10"/>
            <rFont val="Arial"/>
            <family val="2"/>
          </rPr>
          <t xml:space="preserve">3-year historical EBIT margin trend (Historicals Sec.1): 12.14% (FY23) -&gt; 12.56% (FY24) -&gt; 12.81% (FY25) — a consistent, monotonic improvement of ~30-35bp/year, not a one-off. The 12.8%-&gt;13.0% assumption used here is a conservative continuation of this trend (roughly half the observed annual improvement), not an aggressive extrapolation.</t>
        </r>
      </text>
    </comment>
    <comment ref="E22" authorId="0">
      <text>
        <r>
          <rPr>
            <sz val="10"/>
            <rFont val="Arial"/>
            <family val="2"/>
          </rPr>
          <t xml:space="preserve">FY2026 (this forecast year) still falls within the temporary French large-company surtax (legislated through FY2026) — uses the ~35% near-term rate, not the 25% long-run rate used from FY2027 onward.</t>
        </r>
      </text>
    </comment>
    <comment ref="E28" authorId="0">
      <text>
        <r>
          <rPr>
            <sz val="10"/>
            <rFont val="Arial"/>
            <family val="2"/>
          </rPr>
          <t xml:space="preserve">3-year historical D&amp;A/Revenue (Historicals Sec.1): 5.52% (FY23) -&gt; 5.58% (FY24) -&gt; 5.64% (FY25) — stable, slightly rising. The ~5.5%-5.6% assumption used here sits right in this range.</t>
        </r>
      </text>
    </comment>
    <comment ref="E33" authorId="0">
      <text>
        <r>
          <rPr>
            <sz val="10"/>
            <rFont val="Arial"/>
            <family val="2"/>
          </rPr>
          <t xml:space="preserve">3-year historical NWC/Revenue (Historicals Sec.4): -21.7% (FY23) -&gt; -23.7% (FY24) -&gt; -26.0% (FY25) — Vinci's negative working capital position has been deepening each year (more cash-generative), not static. Holding flat at -26.0% for the forecast is therefore a deliberately CONSERVATIVE simplification relative to the trend (which would imply the ratio continuing to become more negative) — flagged here rather than extrapolating the trend further, since 3 data points is a thin base for projecting an accelerating ratio indefinitely.</t>
        </r>
      </text>
    </comment>
    <comment ref="E36" authorId="0">
      <text>
        <r>
          <rPr>
            <sz val="10"/>
            <rFont val="Arial"/>
            <family val="2"/>
          </rPr>
          <t xml:space="preserve">3-year historical Capex/Revenue (Historicals Sec.3): 4.70% (FY23) -&gt; 5.81% (FY24) -&gt; 5.37% (FY25) — no clean monotonic trend (FY24 was a peak, not a stepping stone), unlike margin or NWC. 3-year average is ~5.3%, which is what the ~5.3%-5.5% assumption used here is anchored to, rather than extrapolating the single most recent year in isolation.</t>
        </r>
      </text>
    </comment>
    <comment ref="I28" authorId="0">
      <text>
        <r>
          <rPr>
            <sz val="10"/>
            <rFont val="Arial"/>
            <family val="2"/>
          </rPr>
          <t xml:space="preserve">CORRECTED (2nd pass, Gemini review catch #2 — also valid): forcing Capex exactly equal to D&amp;A (prior fix) still implicitly assumes a static asset base, inconsistent with the g=1.0% positive perpetuity growth assumption. The correct steady-state relationship for a GROWING perpetuity is Capex = D&amp;A x (1+g) — the asset base must expand at the same rate as the cash flows to sustain that growth, not just be replaced 1-for-1. Built as a LIVE FORMULA (D&amp;A/Revenue x (1+g), referencing C42 directly) rather than a hardcoded ratio, so it stays internally consistent automatically if the D&amp;A margin or g assumptions are ever revised — this is not a number to defend in an interview, it is definitionally correct by construction.</t>
        </r>
      </text>
    </comment>
    <comment ref="I43" authorId="0">
      <text>
        <r>
          <rPr>
            <sz val="10"/>
            <rFont val="Arial"/>
            <family val="2"/>
          </rPr>
          <t xml:space="preserve">RECALIBRATED from 7.0x to 10.5x specifically to be mathematically consistent with the 1.0% growth assumption (C42) given this model's WACC and terminal UFCF/EBITDA conversion ratio — not an independent market-based choice. Vinci's current actual trading EV/EBITDA is ~6.3x; 10.5x is well above that, which is exactly why both methods still show large upside vs. market (row 74) even though they now agree with each other and pass the individual reasonableness checks.</t>
        </r>
      </text>
    </comment>
  </commentList>
</comments>
</file>

<file path=xl/sharedStrings.xml><?xml version="1.0" encoding="utf-8"?>
<sst xmlns="http://schemas.openxmlformats.org/spreadsheetml/2006/main" count="372" uniqueCount="337">
  <si>
    <t xml:space="preserve">Vinci SA — DCF Valuation</t>
  </si>
  <si>
    <t xml:space="preserve">Euronext Paris: DG  ·  EUR millions  ·  Valuation date 4 Jul 2026</t>
  </si>
  <si>
    <t xml:space="preserve">Context</t>
  </si>
  <si>
    <t xml:space="preserve">Motorway and airport concessions, energy and construction — the clearest fit for the civil-engineering-to-infrastructure angle, operating the same assets an engineer trains to build. Anchor of a three-company European PUI portfolio (with National Grid and Ferrovial).</t>
  </si>
  <si>
    <t xml:space="preserve">Methodology</t>
  </si>
  <si>
    <t xml:space="preserve">Unlevered DCF off three tied-out years of historicals (FY2023–25). Stub + mid-year discounting, dual terminal value (Gordon Growth + exit multiple) cross-checked, net-debt WACC weights.</t>
  </si>
  <si>
    <t xml:space="preserve">Key assumptions</t>
  </si>
  <si>
    <t xml:space="preserve">WACC 5.98% (CoE 6.75%, after-tax CoD 3.26%)</t>
  </si>
  <si>
    <t xml:space="preserve">Rf 2.99% (ECB AAA 10Y, 2 Jul 2026)  ·  Beta 0.75  ·  ERP 5.01% (Damodaran, France)</t>
  </si>
  <si>
    <t xml:space="preserve">Cost of debt 4.4% pre-tax (Vinci's own disclosed average, FY2025)</t>
  </si>
  <si>
    <t xml:space="preserve">Tax 25.8% long-run; 34.8% in FY2026 (French temporary surtax)</t>
  </si>
  <si>
    <t xml:space="preserve">Net debt €19,075m  ·  Diluted shares 530.01m</t>
  </si>
  <si>
    <t xml:space="preserve">Output</t>
  </si>
  <si>
    <t xml:space="preserve">Implied €316.96 (Gordon Growth, g=1.0%) / €295.69 (exit 10.5x) vs. €126.90 market.</t>
  </si>
  <si>
    <t xml:space="preserve">Finding</t>
  </si>
  <si>
    <t xml:space="preserve">The reverse-DCF shows the market pricing g ≈ −7.4%, i.e. secular decline — the known CAPM limitation for low-beta infrastructure, not a model error. Flagged for discussion, not assumption-engineered away.</t>
  </si>
  <si>
    <t xml:space="preserve">Not attempted</t>
  </si>
  <si>
    <t xml:space="preserve">No segment-level sum-of-the-parts, no concession-maturity schedule, no bond-by-bond YTM.</t>
  </si>
  <si>
    <t xml:space="preserve">Checks</t>
  </si>
  <si>
    <t xml:space="preserve">Balance checks tie all three years; TV cross-checks and the net-debt bridge all pass.</t>
  </si>
  <si>
    <t xml:space="preserve">Sources</t>
  </si>
  <si>
    <t xml:space="preserve">Vinci FY2025 Universal Registration Document &amp; consolidated statements (IFRS); ECB, Damodaran, stockanalysis.com.</t>
  </si>
  <si>
    <t xml:space="preserve">Portfolio</t>
  </si>
  <si>
    <t xml:space="preserve">1 of 3: Vinci (anchor)  ·  National Grid (regulated utility)  ·  Ferrovial (concessions + SOTP).</t>
  </si>
  <si>
    <t xml:space="preserve">Vinci SA — Historicals &amp; Sources (all figures EUR millions unless noted)</t>
  </si>
  <si>
    <t xml:space="preserve">Source: Vinci SA FY2025 Consolidated Financial Statements (year ended 31-Dec-2025), p.3 unless noted</t>
  </si>
  <si>
    <t xml:space="preserve">1. Income Statement (exact Vinci cascade, p.3)</t>
  </si>
  <si>
    <t xml:space="preserve">FY2025</t>
  </si>
  <si>
    <t xml:space="preserve">FY2024</t>
  </si>
  <si>
    <t xml:space="preserve">FY2023</t>
  </si>
  <si>
    <t xml:space="preserve">Revenue</t>
  </si>
  <si>
    <t xml:space="preserve">Concession subsidiaries' revenue derived from works</t>
  </si>
  <si>
    <t xml:space="preserve">Total revenue</t>
  </si>
  <si>
    <t xml:space="preserve">Check: Revenue + Concession works = Total revenue?</t>
  </si>
  <si>
    <t xml:space="preserve">Revenue from ancillary activities</t>
  </si>
  <si>
    <t xml:space="preserve">Operating expenses</t>
  </si>
  <si>
    <t xml:space="preserve">Operating income from ordinary activities (EBIT)</t>
  </si>
  <si>
    <t xml:space="preserve">Check: cascade to EBIT ties out?</t>
  </si>
  <si>
    <t xml:space="preserve">EBIT margin % (of Revenue)</t>
  </si>
  <si>
    <t xml:space="preserve">Share-based payments (IFRS 2)</t>
  </si>
  <si>
    <t xml:space="preserve">Profit/(loss) of companies accounted for under the equity method</t>
  </si>
  <si>
    <t xml:space="preserve">Other recurring operating items</t>
  </si>
  <si>
    <t xml:space="preserve">Recurring operating income</t>
  </si>
  <si>
    <t xml:space="preserve">Non-recurring operating items</t>
  </si>
  <si>
    <t xml:space="preserve">Operating income</t>
  </si>
  <si>
    <t xml:space="preserve">Cost of gross financial debt</t>
  </si>
  <si>
    <t xml:space="preserve">Financial income from cash investments</t>
  </si>
  <si>
    <t xml:space="preserve">Cost of net financial debt</t>
  </si>
  <si>
    <t xml:space="preserve">Other financial income and expense</t>
  </si>
  <si>
    <t xml:space="preserve">Income before tax and profit of equity-method cos. (matches Vinci tax note basis)</t>
  </si>
  <si>
    <t xml:space="preserve">Income tax expense</t>
  </si>
  <si>
    <t xml:space="preserve">Effective tax rate (cross-check only, not used in DCF)</t>
  </si>
  <si>
    <t xml:space="preserve">Net income</t>
  </si>
  <si>
    <t xml:space="preserve">Net income attributable to non-controlling interests</t>
  </si>
  <si>
    <t xml:space="preserve">Net income attributable to owners of the parent</t>
  </si>
  <si>
    <t xml:space="preserve">Depreciation &amp; amortisation (D&amp;A)</t>
  </si>
  <si>
    <t xml:space="preserve">D&amp;A % of Revenue</t>
  </si>
  <si>
    <t xml:space="preserve">EBITDA (memo = EBIT + D&amp;A)</t>
  </si>
  <si>
    <t xml:space="preserve">EBITDA margin %</t>
  </si>
  <si>
    <t xml:space="preserve">Per-Share Data (memo — for trading comps / share count cross-check, not used in UFCF)</t>
  </si>
  <si>
    <t xml:space="preserve">Basic EPS (EUR)</t>
  </si>
  <si>
    <t xml:space="preserve">Diluted EPS (EUR)</t>
  </si>
  <si>
    <t xml:space="preserve">Implied basic shares outstanding (mm) — cross-check</t>
  </si>
  <si>
    <t xml:space="preserve">Implied diluted shares outstanding (mm) — cross-check</t>
  </si>
  <si>
    <t xml:space="preserve">1b. Tax Rate — Methodology &amp; Sourcing</t>
  </si>
  <si>
    <t xml:space="preserve">French theoretical CIT rate (excl. exceptional contribution) — per Vinci's own tax note</t>
  </si>
  <si>
    <t xml:space="preserve">Large-company exceptional surtax — applies? (Vinci turnover vs. threshold)</t>
  </si>
  <si>
    <t xml:space="preserve">YES — turnover &gt;EUR 3bn tier</t>
  </si>
  <si>
    <t xml:space="preserve">Vinci's own disclosed effective tax rate, FY2025 (incl. exceptional contribution)</t>
  </si>
  <si>
    <t xml:space="preserve">Confirmed: same elevated rate continues into FY2026 (per Vinci's own guidance)</t>
  </si>
  <si>
    <t xml:space="preserve">"around 36%" per Vinci press release</t>
  </si>
  <si>
    <t xml:space="preserve">Cross-check: FY2024 vs FY2025 effective rate jump consistent with new surtax?</t>
  </si>
  <si>
    <t xml:space="preserve">Recommended marginal rate for DCF (near-term forecast years, while surtax is in force)</t>
  </si>
  <si>
    <t xml:space="preserve">Recommended marginal rate for DCF (terminal/long-run years)</t>
  </si>
  <si>
    <t xml:space="preserve">2. Balance Sheet</t>
  </si>
  <si>
    <t xml:space="preserve">Non-current assets</t>
  </si>
  <si>
    <t xml:space="preserve">Concession intangible assets</t>
  </si>
  <si>
    <t xml:space="preserve">Goodwill</t>
  </si>
  <si>
    <t xml:space="preserve">Other intangible assets</t>
  </si>
  <si>
    <t xml:space="preserve">Property, plant and equipment (PP&amp;E)</t>
  </si>
  <si>
    <t xml:space="preserve">Investments in companies under the equity method</t>
  </si>
  <si>
    <t xml:space="preserve">Other non-current financial assets</t>
  </si>
  <si>
    <t xml:space="preserve">Derivative financial instruments (non-current assets)</t>
  </si>
  <si>
    <t xml:space="preserve">Deferred tax assets</t>
  </si>
  <si>
    <t xml:space="preserve">Total non-current assets</t>
  </si>
  <si>
    <t xml:space="preserve">Current assets</t>
  </si>
  <si>
    <t xml:space="preserve">Inventories and work in progress</t>
  </si>
  <si>
    <t xml:space="preserve">Trade and other receivables</t>
  </si>
  <si>
    <t xml:space="preserve">Other current assets</t>
  </si>
  <si>
    <t xml:space="preserve">Current tax assets</t>
  </si>
  <si>
    <t xml:space="preserve">Other current financial assets</t>
  </si>
  <si>
    <t xml:space="preserve">Derivative financial instruments (current assets)</t>
  </si>
  <si>
    <t xml:space="preserve">Cash management financial assets</t>
  </si>
  <si>
    <t xml:space="preserve">Cash and cash equivalents</t>
  </si>
  <si>
    <t xml:space="preserve">Total current assets</t>
  </si>
  <si>
    <t xml:space="preserve">Assets held for sale</t>
  </si>
  <si>
    <t xml:space="preserve">TOTAL ASSETS</t>
  </si>
  <si>
    <t xml:space="preserve">Equity</t>
  </si>
  <si>
    <t xml:space="preserve">Share capital</t>
  </si>
  <si>
    <t xml:space="preserve">Share premium</t>
  </si>
  <si>
    <t xml:space="preserve">Treasury shares</t>
  </si>
  <si>
    <t xml:space="preserve">Consolidated reserves</t>
  </si>
  <si>
    <t xml:space="preserve">Currency translation reserves</t>
  </si>
  <si>
    <t xml:space="preserve">Amounts recognised directly in equity</t>
  </si>
  <si>
    <t xml:space="preserve">Equity attributable to owners of the parent</t>
  </si>
  <si>
    <t xml:space="preserve">Equity attributable to non-controlling interests</t>
  </si>
  <si>
    <t xml:space="preserve">Total equity</t>
  </si>
  <si>
    <t xml:space="preserve">Non-current liabilities</t>
  </si>
  <si>
    <t xml:space="preserve">Non-current provisions</t>
  </si>
  <si>
    <t xml:space="preserve">Provisions for employee benefits</t>
  </si>
  <si>
    <t xml:space="preserve">Bonds</t>
  </si>
  <si>
    <t xml:space="preserve">Other loans and borrowings</t>
  </si>
  <si>
    <t xml:space="preserve">Derivative financial instruments (non-current liabilities)</t>
  </si>
  <si>
    <t xml:space="preserve">Non-current lease liabilities</t>
  </si>
  <si>
    <t xml:space="preserve">Other non-current liabilities</t>
  </si>
  <si>
    <t xml:space="preserve">Deferred tax liabilities</t>
  </si>
  <si>
    <t xml:space="preserve">Total non-current liabilities</t>
  </si>
  <si>
    <t xml:space="preserve">Current liabilities</t>
  </si>
  <si>
    <t xml:space="preserve">Current provisions</t>
  </si>
  <si>
    <t xml:space="preserve">Trade payables</t>
  </si>
  <si>
    <t xml:space="preserve">Other current liabilities</t>
  </si>
  <si>
    <t xml:space="preserve">Current tax liabilities</t>
  </si>
  <si>
    <t xml:space="preserve">Current lease liabilities</t>
  </si>
  <si>
    <t xml:space="preserve">Derivative financial instruments (current liabilities)</t>
  </si>
  <si>
    <t xml:space="preserve">Current borrowings</t>
  </si>
  <si>
    <t xml:space="preserve">Total current liabilities</t>
  </si>
  <si>
    <t xml:space="preserve">Liabilities directly associated with assets held for sale</t>
  </si>
  <si>
    <t xml:space="preserve">TOTAL EQUITY AND LIABILITIES</t>
  </si>
  <si>
    <t xml:space="preserve">Balance check (Total Assets - Total Equity &amp; Liabilities)</t>
  </si>
  <si>
    <t xml:space="preserve">3. Cash Flow Statement</t>
  </si>
  <si>
    <t xml:space="preserve">Operating activities</t>
  </si>
  <si>
    <t xml:space="preserve">Consolidated net income (incl. non-controlling)</t>
  </si>
  <si>
    <t xml:space="preserve">Depreciation and amortisation</t>
  </si>
  <si>
    <t xml:space="preserve">Net increase/(decrease) in provisions and impairment</t>
  </si>
  <si>
    <t xml:space="preserve">Share-based payments (IFRS 2) and other restatements</t>
  </si>
  <si>
    <t xml:space="preserve">Gain or loss on disposals</t>
  </si>
  <si>
    <t xml:space="preserve">Change in fair value of financial instruments</t>
  </si>
  <si>
    <t xml:space="preserve">Share of profit/(loss) of equity method cos.</t>
  </si>
  <si>
    <t xml:space="preserve">Cost of net financial debt recognised</t>
  </si>
  <si>
    <t xml:space="preserve">Capitalised borrowing costs</t>
  </si>
  <si>
    <t xml:space="preserve">Financial expense on lease liabilities and other</t>
  </si>
  <si>
    <t xml:space="preserve">Current and deferred tax expense recognised</t>
  </si>
  <si>
    <t xml:space="preserve">Cash flow from operations before tax and financing costs</t>
  </si>
  <si>
    <t xml:space="preserve">Changes in operating working capital &amp; current provisions</t>
  </si>
  <si>
    <t xml:space="preserve">Income taxes paid</t>
  </si>
  <si>
    <t xml:space="preserve">Net interest paid</t>
  </si>
  <si>
    <t xml:space="preserve">Dividends received from equity-method companies</t>
  </si>
  <si>
    <t xml:space="preserve">Other long-term advances and associated interest</t>
  </si>
  <si>
    <t xml:space="preserve">Net cash flows from operating activities (I)</t>
  </si>
  <si>
    <t xml:space="preserve">Check: sum of line items above vs. reported subtotal</t>
  </si>
  <si>
    <t xml:space="preserve">Investing activities</t>
  </si>
  <si>
    <t xml:space="preserve">Purchases of PP&amp;E and intangible assets</t>
  </si>
  <si>
    <t xml:space="preserve">Proceeds from sales of PP&amp;E and intangibles</t>
  </si>
  <si>
    <t xml:space="preserve">Operating investments (net of disposals)</t>
  </si>
  <si>
    <t xml:space="preserve">Investments in concession fixed assets (net of grants)</t>
  </si>
  <si>
    <t xml:space="preserve">Financial receivables (PPP contracts and others)</t>
  </si>
  <si>
    <t xml:space="preserve">Growth investments (concessions and PPPs)</t>
  </si>
  <si>
    <t xml:space="preserve">Total capital expenditures (organic, excl. M&amp;A)</t>
  </si>
  <si>
    <t xml:space="preserve">Purchases of shares in subsidiaries and affiliates</t>
  </si>
  <si>
    <t xml:space="preserve">Proceeds from sales of shares in subsidiaries and affiliates</t>
  </si>
  <si>
    <t xml:space="preserve">Cash and cash equivalents of acquired companies</t>
  </si>
  <si>
    <t xml:space="preserve">Net financial investments (M&amp;A)</t>
  </si>
  <si>
    <t xml:space="preserve">Other</t>
  </si>
  <si>
    <t xml:space="preserve">Net cash flows from investing activities (II)</t>
  </si>
  <si>
    <t xml:space="preserve">Financing activities</t>
  </si>
  <si>
    <t xml:space="preserve">Share capital increases/decreases &amp; equity repurchases</t>
  </si>
  <si>
    <t xml:space="preserve">Transactions in treasury shares</t>
  </si>
  <si>
    <t xml:space="preserve">Capital increases/decreases of subsidiaries (third parties)</t>
  </si>
  <si>
    <t xml:space="preserve">Acquisitions/disposals of NCI (no loss of control)</t>
  </si>
  <si>
    <t xml:space="preserve">Dividends paid to shareholders of Vinci SA</t>
  </si>
  <si>
    <t xml:space="preserve">Dividends paid to non-controlling interests</t>
  </si>
  <si>
    <t xml:space="preserve">Proceeds from new long-term borrowings</t>
  </si>
  <si>
    <t xml:space="preserve">Repayments of long-term borrowings</t>
  </si>
  <si>
    <t xml:space="preserve">Repayments of lease liabilities &amp; related finance expense</t>
  </si>
  <si>
    <t xml:space="preserve">Change in cash management assets &amp; other current fin. debts</t>
  </si>
  <si>
    <t xml:space="preserve">Net cash flows from financing activities (III)</t>
  </si>
  <si>
    <t xml:space="preserve">Other changes (IV)</t>
  </si>
  <si>
    <t xml:space="preserve">Change in net cash (I+II+III+IV)</t>
  </si>
  <si>
    <t xml:space="preserve">Net cash and cash equivalents at beginning of period</t>
  </si>
  <si>
    <t xml:space="preserve">Net cash and cash equivalents at end of period</t>
  </si>
  <si>
    <t xml:space="preserve">4. Net Working Capital (derived from Section 2 Balance Sheet)</t>
  </si>
  <si>
    <t xml:space="preserve">WC assets (Inventories + Trade receivables + Other current assets)</t>
  </si>
  <si>
    <t xml:space="preserve">WC liabilities (Trade payables + Other current liabilities + Current provisions)</t>
  </si>
  <si>
    <t xml:space="preserve">Net working capital (WC assets - WC liabilities)</t>
  </si>
  <si>
    <t xml:space="preserve">NWC as % of Revenue</t>
  </si>
  <si>
    <t xml:space="preserve">5. Net Debt Reconciliation</t>
  </si>
  <si>
    <t xml:space="preserve">Total gross financial debt (I)</t>
  </si>
  <si>
    <t xml:space="preserve">Check: BS-derived gross debt vs. Net Debt note figure</t>
  </si>
  <si>
    <t xml:space="preserve">Total financial assets (II)</t>
  </si>
  <si>
    <t xml:space="preserve">Net derivative financial instruments (III)</t>
  </si>
  <si>
    <t xml:space="preserve">Net financial debt (I+II+III)</t>
  </si>
  <si>
    <t xml:space="preserve">Net debt (positive convention, for EV bridge)</t>
  </si>
  <si>
    <t xml:space="preserve">6. Equity Market Data</t>
  </si>
  <si>
    <t xml:space="preserve">Value</t>
  </si>
  <si>
    <t xml:space="preserve">Share price (reference, previous close)</t>
  </si>
  <si>
    <t xml:space="preserve">52-week range (low - high)</t>
  </si>
  <si>
    <t xml:space="preserve">Market capitalization (EUR mm)</t>
  </si>
  <si>
    <t xml:space="preserve">Diluted shares outstanding (mm)</t>
  </si>
  <si>
    <t xml:space="preserve">Beta (5Y monthly)</t>
  </si>
  <si>
    <t xml:space="preserve">7. Cost of Debt — Market Reference</t>
  </si>
  <si>
    <t xml:space="preserve">ASF 3.375% Jan-2034 bond (ISIN FR0014015J53) price</t>
  </si>
  <si>
    <t xml:space="preserve">Coupon</t>
  </si>
  <si>
    <t xml:space="preserve">Current yield (coupon / price)</t>
  </si>
  <si>
    <t xml:space="preserve">Cost of debt (pre-tax) — Vinci's own disclosed average cost of long-term gross debt</t>
  </si>
  <si>
    <t xml:space="preserve">8. Segment Detail FY2025 (reference only — not consolidated-group lines)</t>
  </si>
  <si>
    <t xml:space="preserve">EBITDA</t>
  </si>
  <si>
    <t xml:space="preserve">Concessions - VINCI Autoroutes</t>
  </si>
  <si>
    <t xml:space="preserve">Concessions - VINCI Airports</t>
  </si>
  <si>
    <t xml:space="preserve">Energy Solutions (total, incl. Cobra IS)</t>
  </si>
  <si>
    <t xml:space="preserve">Construction (total, incl. VINCI Immobilier)</t>
  </si>
  <si>
    <t xml:space="preserve">Sum of segments</t>
  </si>
  <si>
    <t xml:space="preserve">vs. Group total (Section 1 Revenue)</t>
  </si>
  <si>
    <t xml:space="preserve">WACC Buildup</t>
  </si>
  <si>
    <t xml:space="preserve">Cost of capital assumptions</t>
  </si>
  <si>
    <t xml:space="preserve">Source</t>
  </si>
  <si>
    <t xml:space="preserve">Cost of debt</t>
  </si>
  <si>
    <t xml:space="preserve">Vinci's own disclosed average cost of long-term gross financial debt (4.4%, FY2025) — see Historicals Sec.7</t>
  </si>
  <si>
    <t xml:space="preserve">Tax rate</t>
  </si>
  <si>
    <t xml:space="preserve">Long-run French statutory rate (25%) — WACC discounts a perpetual stream, so the LONG-RUN rate is used here, not the ~35% near-term rate reflecting France's temporary FY2025-26 large-company surtax (that surtax is instead applied directly in the DCF tab's explicit-forecast tax schedule).</t>
  </si>
  <si>
    <t xml:space="preserve">Cost of debt (after tax)</t>
  </si>
  <si>
    <t xml:space="preserve">Cost of debt x (1 - tax rate)</t>
  </si>
  <si>
    <t xml:space="preserve">Risk free rate</t>
  </si>
  <si>
    <t xml:space="preserve">ECB euro-area AAA-rated bond yield curve, spot rate, 10yr tenor, 2-Jul-2026</t>
  </si>
  <si>
    <t xml:space="preserve">Beta</t>
  </si>
  <si>
    <t xml:space="preserve">stockanalysis.com, DG.PA, 5Y monthly (proxy for Bloomberg 2Y weekly convention)</t>
  </si>
  <si>
    <t xml:space="preserve">Market risk premium</t>
  </si>
  <si>
    <t xml:space="preserve">Damodaran Country Risk Premium dataset, France, rating-based Total ERP, queried 4-Jul-2026</t>
  </si>
  <si>
    <t xml:space="preserve">Cost of equity</t>
  </si>
  <si>
    <t xml:space="preserve">RfR + Beta x MRP</t>
  </si>
  <si>
    <t xml:space="preserve">Capital weights (capital structure)</t>
  </si>
  <si>
    <t xml:space="preserve">Current</t>
  </si>
  <si>
    <t xml:space="preserve">% of total</t>
  </si>
  <si>
    <t xml:space="preserve">Debt (net)</t>
  </si>
  <si>
    <t xml:space="preserve">NET debt (not gross), matching the WSP reference workbook convention (WACC Done!C19 links to net debt).</t>
  </si>
  <si>
    <t xml:space="preserve">Cost of capital (WACC)</t>
  </si>
  <si>
    <t xml:space="preserve">WACC sensitivity to MRP and Beta</t>
  </si>
  <si>
    <t xml:space="preserve">Market</t>
  </si>
  <si>
    <t xml:space="preserve">Risk</t>
  </si>
  <si>
    <t xml:space="preserve">Premium</t>
  </si>
  <si>
    <t xml:space="preserve">Discounted Cash Flow Valuation</t>
  </si>
  <si>
    <t xml:space="preserve">Most recent fiscal year end</t>
  </si>
  <si>
    <t xml:space="preserve">Discount rate (WACC)</t>
  </si>
  <si>
    <t xml:space="preserve">End of first fiscal year</t>
  </si>
  <si>
    <t xml:space="preserve">Share price (Public Co)</t>
  </si>
  <si>
    <t xml:space="preserve">Most recent quarter end date</t>
  </si>
  <si>
    <t xml:space="preserve">Share price date</t>
  </si>
  <si>
    <t xml:space="preserve">Valuation date</t>
  </si>
  <si>
    <t xml:space="preserve">Midyear adjustment?</t>
  </si>
  <si>
    <t xml:space="preserve">Portion of year 1 cash flows in forecast</t>
  </si>
  <si>
    <t xml:space="preserve">Unlevered Free Cash Flows</t>
  </si>
  <si>
    <t xml:space="preserve">Actual</t>
  </si>
  <si>
    <t xml:space="preserve">Forecasts</t>
  </si>
  <si>
    <t xml:space="preserve">Fiscal year ended</t>
  </si>
  <si>
    <t xml:space="preserve">% growth</t>
  </si>
  <si>
    <t xml:space="preserve">% margin</t>
  </si>
  <si>
    <t xml:space="preserve">EBIT</t>
  </si>
  <si>
    <t xml:space="preserve">Tax on EBIT</t>
  </si>
  <si>
    <t xml:space="preserve">NOPAT (aka EBIAT)</t>
  </si>
  <si>
    <t xml:space="preserve">Depreciation &amp; amortization</t>
  </si>
  <si>
    <t xml:space="preserve">Changes in net working capital</t>
  </si>
  <si>
    <t xml:space="preserve">Capital expenditures</t>
  </si>
  <si>
    <t xml:space="preserve">as % of revenue</t>
  </si>
  <si>
    <t xml:space="preserve">Unlevered free cash flows (UFCF)</t>
  </si>
  <si>
    <t xml:space="preserve">Net working capital (WC Assets - WC liabilities)</t>
  </si>
  <si>
    <t xml:space="preserve">Present value of UFCF on valuation date</t>
  </si>
  <si>
    <t xml:space="preserve">Val date</t>
  </si>
  <si>
    <t xml:space="preserve">Yr 1 - Stub</t>
  </si>
  <si>
    <t xml:space="preserve">Year 2</t>
  </si>
  <si>
    <t xml:space="preserve">Year 3</t>
  </si>
  <si>
    <t xml:space="preserve">Year 4</t>
  </si>
  <si>
    <t xml:space="preserve">Year 5</t>
  </si>
  <si>
    <t xml:space="preserve">Date for discounting cash flows</t>
  </si>
  <si>
    <t xml:space="preserve">Unlevered free cash flows (UFCF) stub adjusted</t>
  </si>
  <si>
    <t xml:space="preserve">Present value of unlevered free cash flows</t>
  </si>
  <si>
    <t xml:space="preserve">Terminal value - growth in perpetuity approach</t>
  </si>
  <si>
    <t xml:space="preserve">Terminal value - EBITDA multiple approach</t>
  </si>
  <si>
    <t xml:space="preserve">Long term growth rate</t>
  </si>
  <si>
    <t xml:space="preserve">Terminal year EBITDA</t>
  </si>
  <si>
    <t xml:space="preserve">EBITDA multiple</t>
  </si>
  <si>
    <t xml:space="preserve">Present value of terminal value</t>
  </si>
  <si>
    <t xml:space="preserve">Present value of stage 1 cash flows</t>
  </si>
  <si>
    <t xml:space="preserve">Total enterprise value (TEV)</t>
  </si>
  <si>
    <t xml:space="preserve">Enterprise value (stage 1 + 2)</t>
  </si>
  <si>
    <t xml:space="preserve">Terminal value as % of TEV</t>
  </si>
  <si>
    <t xml:space="preserve">Stage 1 cash flows as % of TEV</t>
  </si>
  <si>
    <t xml:space="preserve">Implied TV exit EBITDA multiple</t>
  </si>
  <si>
    <t xml:space="preserve">Implied terminal growth rate</t>
  </si>
  <si>
    <t xml:space="preserve">Net debt</t>
  </si>
  <si>
    <t xml:space="preserve">Shares outstanding</t>
  </si>
  <si>
    <t xml:space="preserve">Source doc</t>
  </si>
  <si>
    <t xml:space="preserve">FY2025 Consolidated Fin. Statements, p.61</t>
  </si>
  <si>
    <t xml:space="preserve">Source date</t>
  </si>
  <si>
    <t xml:space="preserve">Date</t>
  </si>
  <si>
    <t xml:space="preserve">Shares</t>
  </si>
  <si>
    <t xml:space="preserve">Gross debt and equivalents</t>
  </si>
  <si>
    <t xml:space="preserve">Diluted shares (stockanalysis.com)</t>
  </si>
  <si>
    <t xml:space="preserve">stockanalysis.com</t>
  </si>
  <si>
    <t xml:space="preserve">Debt (gross financial debt)</t>
  </si>
  <si>
    <t xml:space="preserve">Net diluted shares outstanding</t>
  </si>
  <si>
    <t xml:space="preserve">Convertible debt</t>
  </si>
  <si>
    <t xml:space="preserve">Preferred stock</t>
  </si>
  <si>
    <t xml:space="preserve">Noncontrolling (minority) interests</t>
  </si>
  <si>
    <t xml:space="preserve">Net derivative financial instruments</t>
  </si>
  <si>
    <t xml:space="preserve">Cash</t>
  </si>
  <si>
    <t xml:space="preserve">Equity investments</t>
  </si>
  <si>
    <t xml:space="preserve">Valuation</t>
  </si>
  <si>
    <t xml:space="preserve">Perpetuity</t>
  </si>
  <si>
    <t xml:space="preserve">Enterprise value</t>
  </si>
  <si>
    <t xml:space="preserve">Equity value</t>
  </si>
  <si>
    <t xml:space="preserve">Equity value per share</t>
  </si>
  <si>
    <t xml:space="preserve">Implied upside / (downside) vs. current price</t>
  </si>
  <si>
    <t xml:space="preserve">Year 1 Multiples</t>
  </si>
  <si>
    <t xml:space="preserve">EV / Revenue</t>
  </si>
  <si>
    <t xml:space="preserve">EV / EBITDA</t>
  </si>
  <si>
    <t xml:space="preserve">EV / EBIT</t>
  </si>
  <si>
    <t xml:space="preserve">Outputs</t>
  </si>
  <si>
    <t xml:space="preserve">Long term growth rate (g):</t>
  </si>
  <si>
    <t xml:space="preserve">WACC:</t>
  </si>
  <si>
    <t xml:space="preserve">Exit EBITDA Multiple</t>
  </si>
  <si>
    <t xml:space="preserve">Equity value range</t>
  </si>
  <si>
    <t xml:space="preserve">Football field</t>
  </si>
  <si>
    <t xml:space="preserve">Low</t>
  </si>
  <si>
    <t xml:space="preserve">Diff.</t>
  </si>
  <si>
    <t xml:space="preserve">High</t>
  </si>
  <si>
    <t xml:space="preserve">52 Week Market High/Low</t>
  </si>
  <si>
    <t xml:space="preserve">Current share price (reference)</t>
  </si>
  <si>
    <t xml:space="preserve">Reverse-DCF: Market-Implied Long-Term Growth Rate</t>
  </si>
  <si>
    <t xml:space="preserve">Current market EV (Market Cap + Net Debt)</t>
  </si>
  <si>
    <t xml:space="preserve">Implied PV of terminal value (Current EV - Stage 1 PV)</t>
  </si>
  <si>
    <t xml:space="preserve">Implied (undiscounted) terminal value</t>
  </si>
  <si>
    <t xml:space="preserve">Market-implied long-term growth rate (g)</t>
  </si>
  <si>
    <t xml:space="preserve">Model Integrity Checks</t>
  </si>
  <si>
    <t xml:space="preserve">Check: TV as % of TEV within normal range (60-90%)?</t>
  </si>
  <si>
    <t xml:space="preserve">Check: implied exit multiple from Growth method reasonable (&lt;15x)?</t>
  </si>
  <si>
    <t xml:space="preserve">Check: implied growth rate from Exit Multiple method reasonable (0%-4%)?</t>
  </si>
  <si>
    <t xml:space="preserve">Check: both methods within 15% of each other?</t>
  </si>
  <si>
    <t xml:space="preserve">Check: Net debt ties to Historicals net debt reconciliation?</t>
  </si>
</sst>
</file>

<file path=xl/styles.xml><?xml version="1.0" encoding="utf-8"?>
<styleSheet xmlns="http://schemas.openxmlformats.org/spreadsheetml/2006/main">
  <numFmts count="10">
    <numFmt numFmtId="164" formatCode="General"/>
    <numFmt numFmtId="165" formatCode="#,##0;\(#,##0\);\-"/>
    <numFmt numFmtId="166" formatCode="0.00%"/>
    <numFmt numFmtId="167" formatCode="0.0%"/>
    <numFmt numFmtId="168" formatCode="#,##0.00;\(#,##0.00\);\-"/>
    <numFmt numFmtId="169" formatCode="#,##0.0;\(#,##0.0\);\-"/>
    <numFmt numFmtId="170" formatCode="dd\-mmm\-yyyy"/>
    <numFmt numFmtId="171" formatCode="0"/>
    <numFmt numFmtId="172" formatCode="0.0\x"/>
    <numFmt numFmtId="173" formatCode="yyyy\-mm\-dd\ h:mm:ss"/>
  </numFmts>
  <fonts count="17">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808080"/>
      <name val="Arial"/>
      <family val="0"/>
      <charset val="1"/>
    </font>
    <font>
      <b val="true"/>
      <sz val="10"/>
      <color rgb="FF1F3864"/>
      <name val="Arial"/>
      <family val="0"/>
      <charset val="1"/>
    </font>
    <font>
      <sz val="10"/>
      <color rgb="FF000000"/>
      <name val="Arial"/>
      <family val="0"/>
      <charset val="1"/>
    </font>
    <font>
      <b val="true"/>
      <sz val="14"/>
      <name val="Arial"/>
      <family val="0"/>
      <charset val="1"/>
    </font>
    <font>
      <b val="true"/>
      <i val="true"/>
      <sz val="10"/>
      <name val="Arial"/>
      <family val="0"/>
      <charset val="1"/>
    </font>
    <font>
      <b val="true"/>
      <sz val="10"/>
      <name val="Arial"/>
      <family val="0"/>
      <charset val="1"/>
    </font>
    <font>
      <sz val="10"/>
      <color rgb="FF0000FF"/>
      <name val="Arial"/>
      <family val="0"/>
      <charset val="1"/>
    </font>
    <font>
      <sz val="10"/>
      <name val="Arial"/>
      <family val="2"/>
    </font>
    <font>
      <sz val="10"/>
      <color rgb="FF008000"/>
      <name val="Arial"/>
      <family val="0"/>
      <charset val="1"/>
    </font>
    <font>
      <b val="true"/>
      <sz val="10"/>
      <color rgb="FF0000FF"/>
      <name val="Arial"/>
      <family val="0"/>
      <charset val="1"/>
    </font>
    <font>
      <sz val="11"/>
      <name val="dd-mmm-yyyy"/>
      <family val="0"/>
      <charset val="1"/>
    </font>
    <font>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
      <patternFill patternType="solid">
        <fgColor rgb="FFC6EFCE"/>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1"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false" indent="1" shrinkToFit="false"/>
      <protection locked="true" hidden="false"/>
    </xf>
    <xf numFmtId="164" fontId="7" fillId="0" borderId="0" xfId="0" applyFont="true" applyBorder="false" applyAlignment="true" applyProtection="false">
      <alignment horizontal="general" vertical="top" textRotation="0" wrapText="true" indent="1"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6" fontId="11" fillId="4" borderId="0" xfId="0" applyFont="true" applyBorder="false" applyAlignment="true" applyProtection="false">
      <alignment horizontal="general" vertical="bottom" textRotation="0" wrapText="false" indent="0" shrinkToFit="false"/>
      <protection locked="true" hidden="false"/>
    </xf>
    <xf numFmtId="167" fontId="11" fillId="4" borderId="0" xfId="0" applyFont="true" applyBorder="false" applyAlignment="tru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bottom" textRotation="0" wrapText="false" indent="0" shrinkToFit="false"/>
      <protection locked="true" hidden="false"/>
    </xf>
    <xf numFmtId="165" fontId="10" fillId="4"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67" fontId="13" fillId="4" borderId="0" xfId="0" applyFont="true" applyBorder="false" applyAlignment="true" applyProtection="false">
      <alignment horizontal="general" vertical="bottom" textRotation="0" wrapText="false" indent="0" shrinkToFit="false"/>
      <protection locked="true" hidden="false"/>
    </xf>
    <xf numFmtId="168" fontId="13"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6" fontId="10" fillId="4"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6" fontId="7" fillId="4" borderId="0" xfId="0" applyFont="true" applyBorder="false" applyAlignment="tru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1" fontId="11" fillId="4" borderId="0" xfId="0" applyFont="true" applyBorder="false" applyAlignment="true" applyProtection="false">
      <alignment horizontal="general" vertical="bottom" textRotation="0" wrapText="fals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72" fontId="11" fillId="4" borderId="0" xfId="0" applyFont="true" applyBorder="false" applyAlignment="true" applyProtection="false">
      <alignment horizontal="general" vertical="bottom" textRotation="0" wrapText="false" indent="0" shrinkToFit="false"/>
      <protection locked="true" hidden="false"/>
    </xf>
    <xf numFmtId="172" fontId="10" fillId="5" borderId="0" xfId="0" applyFont="true" applyBorder="false" applyAlignment="true" applyProtection="false">
      <alignment horizontal="general" vertical="bottom" textRotation="0" wrapText="false" indent="0" shrinkToFit="false"/>
      <protection locked="true" hidden="false"/>
    </xf>
    <xf numFmtId="166" fontId="10" fillId="5" borderId="0" xfId="0" applyFont="true" applyBorder="false" applyAlignment="true" applyProtection="false">
      <alignment horizontal="general" vertical="bottom" textRotation="0" wrapText="false" indent="0" shrinkToFit="false"/>
      <protection locked="true" hidden="false"/>
    </xf>
    <xf numFmtId="173" fontId="15" fillId="0" borderId="0" xfId="0" applyFont="true" applyBorder="false" applyAlignment="true" applyProtection="false">
      <alignment horizontal="general" vertical="bottom" textRotation="0" wrapText="false" indent="0" shrinkToFit="false"/>
      <protection locked="true" hidden="false"/>
    </xf>
    <xf numFmtId="169" fontId="13"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8" fontId="10" fillId="4"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8" fontId="7" fillId="4" borderId="0" xfId="0" applyFont="true" applyBorder="false" applyAlignment="tru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0"/>
  </cols>
  <sheetData>
    <row r="1" customFormat="false" ht="25.5" hidden="false" customHeight="true" outlineLevel="0" collapsed="false">
      <c r="A1" s="1"/>
      <c r="B1" s="2" t="s">
        <v>0</v>
      </c>
    </row>
    <row r="2" customFormat="false" ht="15" hidden="false" customHeight="false" outlineLevel="0" collapsed="false">
      <c r="B2" s="3" t="s">
        <v>1</v>
      </c>
    </row>
    <row r="3" customFormat="false" ht="6" hidden="false" customHeight="true" outlineLevel="0" collapsed="false"/>
    <row r="4" customFormat="false" ht="18" hidden="false" customHeight="true" outlineLevel="0" collapsed="false">
      <c r="A4" s="4"/>
      <c r="B4" s="5" t="s">
        <v>2</v>
      </c>
    </row>
    <row r="5" customFormat="false" ht="35.05" hidden="false" customHeight="false" outlineLevel="0" collapsed="false">
      <c r="B5" s="6" t="s">
        <v>3</v>
      </c>
    </row>
    <row r="6" customFormat="false" ht="6" hidden="false" customHeight="true" outlineLevel="0" collapsed="false"/>
    <row r="7" customFormat="false" ht="18" hidden="false" customHeight="true" outlineLevel="0" collapsed="false">
      <c r="A7" s="4"/>
      <c r="B7" s="5" t="s">
        <v>4</v>
      </c>
    </row>
    <row r="8" customFormat="false" ht="23.85" hidden="false" customHeight="false" outlineLevel="0" collapsed="false">
      <c r="B8" s="6" t="s">
        <v>5</v>
      </c>
    </row>
    <row r="9" customFormat="false" ht="6" hidden="false" customHeight="true" outlineLevel="0" collapsed="false"/>
    <row r="10" customFormat="false" ht="18" hidden="false" customHeight="true" outlineLevel="0" collapsed="false">
      <c r="A10" s="4"/>
      <c r="B10" s="5" t="s">
        <v>6</v>
      </c>
    </row>
    <row r="11" customFormat="false" ht="15" hidden="false" customHeight="false" outlineLevel="0" collapsed="false">
      <c r="B11" s="6" t="s">
        <v>7</v>
      </c>
    </row>
    <row r="12" customFormat="false" ht="15" hidden="false" customHeight="false" outlineLevel="0" collapsed="false">
      <c r="B12" s="6" t="s">
        <v>8</v>
      </c>
    </row>
    <row r="13" customFormat="false" ht="15" hidden="false" customHeight="false" outlineLevel="0" collapsed="false">
      <c r="B13" s="6" t="s">
        <v>9</v>
      </c>
    </row>
    <row r="14" customFormat="false" ht="15" hidden="false" customHeight="false" outlineLevel="0" collapsed="false">
      <c r="B14" s="6" t="s">
        <v>10</v>
      </c>
    </row>
    <row r="15" customFormat="false" ht="15" hidden="false" customHeight="false" outlineLevel="0" collapsed="false">
      <c r="B15" s="6" t="s">
        <v>11</v>
      </c>
    </row>
    <row r="16" customFormat="false" ht="6" hidden="false" customHeight="true" outlineLevel="0" collapsed="false"/>
    <row r="17" customFormat="false" ht="18" hidden="false" customHeight="true" outlineLevel="0" collapsed="false">
      <c r="A17" s="4"/>
      <c r="B17" s="5" t="s">
        <v>12</v>
      </c>
    </row>
    <row r="18" customFormat="false" ht="15" hidden="false" customHeight="false" outlineLevel="0" collapsed="false">
      <c r="B18" s="6" t="s">
        <v>13</v>
      </c>
    </row>
    <row r="19" customFormat="false" ht="6" hidden="false" customHeight="true" outlineLevel="0" collapsed="false"/>
    <row r="20" customFormat="false" ht="18" hidden="false" customHeight="true" outlineLevel="0" collapsed="false">
      <c r="A20" s="4"/>
      <c r="B20" s="5" t="s">
        <v>14</v>
      </c>
    </row>
    <row r="21" customFormat="false" ht="23.85" hidden="false" customHeight="false" outlineLevel="0" collapsed="false">
      <c r="B21" s="6" t="s">
        <v>15</v>
      </c>
    </row>
    <row r="22" customFormat="false" ht="6" hidden="false" customHeight="true" outlineLevel="0" collapsed="false"/>
    <row r="23" customFormat="false" ht="18" hidden="false" customHeight="true" outlineLevel="0" collapsed="false">
      <c r="A23" s="4"/>
      <c r="B23" s="5" t="s">
        <v>16</v>
      </c>
    </row>
    <row r="24" customFormat="false" ht="15" hidden="false" customHeight="false" outlineLevel="0" collapsed="false">
      <c r="B24" s="6" t="s">
        <v>17</v>
      </c>
    </row>
    <row r="25" customFormat="false" ht="6" hidden="false" customHeight="true" outlineLevel="0" collapsed="false"/>
    <row r="26" customFormat="false" ht="18" hidden="false" customHeight="true" outlineLevel="0" collapsed="false">
      <c r="A26" s="4"/>
      <c r="B26" s="5" t="s">
        <v>18</v>
      </c>
    </row>
    <row r="27" customFormat="false" ht="15" hidden="false" customHeight="false" outlineLevel="0" collapsed="false">
      <c r="B27" s="6" t="s">
        <v>19</v>
      </c>
    </row>
    <row r="28" customFormat="false" ht="6" hidden="false" customHeight="true" outlineLevel="0" collapsed="false"/>
    <row r="29" customFormat="false" ht="18" hidden="false" customHeight="true" outlineLevel="0" collapsed="false">
      <c r="A29" s="4"/>
      <c r="B29" s="5" t="s">
        <v>20</v>
      </c>
    </row>
    <row r="30" customFormat="false" ht="15" hidden="false" customHeight="false" outlineLevel="0" collapsed="false">
      <c r="B30" s="6" t="s">
        <v>21</v>
      </c>
    </row>
    <row r="31" customFormat="false" ht="6" hidden="false" customHeight="true" outlineLevel="0" collapsed="false"/>
    <row r="32" customFormat="false" ht="18" hidden="false" customHeight="true" outlineLevel="0" collapsed="false">
      <c r="A32" s="4"/>
      <c r="B32" s="5" t="s">
        <v>22</v>
      </c>
    </row>
    <row r="33" customFormat="false" ht="15" hidden="false" customHeight="false" outlineLevel="0" collapsed="false">
      <c r="B33" s="6"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7" width="2"/>
    <col collapsed="false" customWidth="true" hidden="false" outlineLevel="0" max="2" min="2" style="7" width="50"/>
    <col collapsed="false" customWidth="true" hidden="false" outlineLevel="0" max="5" min="3" style="7" width="13"/>
    <col collapsed="false" customWidth="true" hidden="false" outlineLevel="0" max="6" min="6" style="7" width="60"/>
  </cols>
  <sheetData>
    <row r="2" customFormat="false" ht="17.25" hidden="false" customHeight="true" outlineLevel="0" collapsed="false">
      <c r="B2" s="8" t="s">
        <v>24</v>
      </c>
    </row>
    <row r="3" customFormat="false" ht="15" hidden="false" customHeight="true" outlineLevel="0" collapsed="false">
      <c r="B3" s="9" t="s">
        <v>25</v>
      </c>
    </row>
    <row r="5" customFormat="false" ht="15" hidden="false" customHeight="true" outlineLevel="0" collapsed="false">
      <c r="B5" s="10" t="s">
        <v>26</v>
      </c>
    </row>
    <row r="6" customFormat="false" ht="15" hidden="false" customHeight="true" outlineLevel="0" collapsed="false">
      <c r="C6" s="11" t="s">
        <v>27</v>
      </c>
      <c r="D6" s="11" t="s">
        <v>28</v>
      </c>
      <c r="E6" s="11" t="s">
        <v>29</v>
      </c>
    </row>
    <row r="7" customFormat="false" ht="15" hidden="false" customHeight="true" outlineLevel="0" collapsed="false">
      <c r="B7" s="12" t="s">
        <v>30</v>
      </c>
      <c r="C7" s="13" t="n">
        <v>74599</v>
      </c>
      <c r="D7" s="13" t="n">
        <v>71623</v>
      </c>
      <c r="E7" s="13" t="n">
        <v>68838</v>
      </c>
    </row>
    <row r="8" customFormat="false" ht="15" hidden="false" customHeight="true" outlineLevel="0" collapsed="false">
      <c r="B8" s="12" t="s">
        <v>31</v>
      </c>
      <c r="C8" s="13" t="n">
        <v>772</v>
      </c>
      <c r="D8" s="13" t="n">
        <v>837</v>
      </c>
      <c r="E8" s="13" t="n">
        <v>780</v>
      </c>
    </row>
    <row r="9" customFormat="false" ht="15" hidden="false" customHeight="true" outlineLevel="0" collapsed="false">
      <c r="B9" s="12" t="s">
        <v>32</v>
      </c>
      <c r="C9" s="13" t="n">
        <v>75372</v>
      </c>
      <c r="D9" s="13" t="n">
        <v>72459</v>
      </c>
      <c r="E9" s="13" t="n">
        <v>69619</v>
      </c>
    </row>
    <row r="10" customFormat="false" ht="15" hidden="false" customHeight="true" outlineLevel="0" collapsed="false">
      <c r="B10" s="12" t="s">
        <v>33</v>
      </c>
      <c r="C10" s="12" t="str">
        <f aca="false">IF(ABS(C7+C8-C9)&lt;=1,"OK (rounding)","REVIEW")</f>
        <v>OK (rounding)</v>
      </c>
      <c r="D10" s="12" t="str">
        <f aca="false">IF(ABS(D7+D8-D9)&lt;=1,"OK (rounding)","REVIEW")</f>
        <v>OK (rounding)</v>
      </c>
      <c r="E10" s="12" t="str">
        <f aca="false">IF(ABS(E7+E8-E9)&lt;=1,"OK (rounding)","REVIEW")</f>
        <v>OK (rounding)</v>
      </c>
    </row>
    <row r="12" customFormat="false" ht="15" hidden="false" customHeight="true" outlineLevel="0" collapsed="false">
      <c r="B12" s="12" t="s">
        <v>34</v>
      </c>
      <c r="C12" s="13" t="n">
        <v>331</v>
      </c>
      <c r="D12" s="13" t="n">
        <v>308</v>
      </c>
      <c r="E12" s="13" t="n">
        <v>267</v>
      </c>
    </row>
    <row r="13" customFormat="false" ht="15" hidden="false" customHeight="true" outlineLevel="0" collapsed="false">
      <c r="B13" s="12" t="s">
        <v>35</v>
      </c>
      <c r="C13" s="13" t="n">
        <v>-66145</v>
      </c>
      <c r="D13" s="13" t="n">
        <v>-63770</v>
      </c>
      <c r="E13" s="13" t="n">
        <v>-61529</v>
      </c>
    </row>
    <row r="14" customFormat="false" ht="15" hidden="false" customHeight="true" outlineLevel="0" collapsed="false">
      <c r="B14" s="10" t="s">
        <v>36</v>
      </c>
      <c r="C14" s="14" t="n">
        <v>9558</v>
      </c>
      <c r="D14" s="14" t="n">
        <v>8997</v>
      </c>
      <c r="E14" s="13" t="n">
        <v>8357</v>
      </c>
    </row>
    <row r="15" customFormat="false" ht="15" hidden="false" customHeight="true" outlineLevel="0" collapsed="false">
      <c r="B15" s="12" t="s">
        <v>37</v>
      </c>
      <c r="C15" s="12" t="str">
        <f aca="false">IF(ABS(C9+C12+C13-C14)&lt;=1,"OK","REVIEW")</f>
        <v>OK</v>
      </c>
      <c r="D15" s="12" t="str">
        <f aca="false">IF(ABS(D9+D12+D13-D14)&lt;=1,"OK","REVIEW")</f>
        <v>OK</v>
      </c>
      <c r="E15" s="12" t="str">
        <f aca="false">IF(ABS(E9+E12+E13-E14)&lt;=1,"OK","REVIEW")</f>
        <v>OK</v>
      </c>
    </row>
    <row r="16" customFormat="false" ht="15" hidden="false" customHeight="true" outlineLevel="0" collapsed="false">
      <c r="B16" s="12" t="s">
        <v>38</v>
      </c>
      <c r="C16" s="15" t="n">
        <f aca="false">C14/C7</f>
        <v>0.128125041890642</v>
      </c>
      <c r="D16" s="15" t="n">
        <f aca="false">D14/D7</f>
        <v>0.12561607304916</v>
      </c>
      <c r="E16" s="15" t="n">
        <f aca="false">E14/E7</f>
        <v>0.121400970394259</v>
      </c>
    </row>
    <row r="18" customFormat="false" ht="15" hidden="false" customHeight="true" outlineLevel="0" collapsed="false">
      <c r="B18" s="12" t="s">
        <v>39</v>
      </c>
      <c r="C18" s="13" t="n">
        <v>-567</v>
      </c>
      <c r="D18" s="13" t="n">
        <v>-462</v>
      </c>
      <c r="E18" s="13" t="n">
        <v>-360</v>
      </c>
    </row>
    <row r="19" customFormat="false" ht="15" hidden="false" customHeight="true" outlineLevel="0" collapsed="false">
      <c r="B19" s="12" t="s">
        <v>40</v>
      </c>
      <c r="C19" s="13" t="n">
        <v>300</v>
      </c>
      <c r="D19" s="13" t="n">
        <v>219</v>
      </c>
      <c r="E19" s="13" t="n">
        <v>111</v>
      </c>
    </row>
    <row r="20" customFormat="false" ht="15" hidden="false" customHeight="true" outlineLevel="0" collapsed="false">
      <c r="B20" s="12" t="s">
        <v>41</v>
      </c>
      <c r="C20" s="13" t="n">
        <v>110</v>
      </c>
      <c r="D20" s="13" t="n">
        <v>97</v>
      </c>
      <c r="E20" s="13" t="n">
        <v>68</v>
      </c>
    </row>
    <row r="21" customFormat="false" ht="15" hidden="false" customHeight="true" outlineLevel="0" collapsed="false">
      <c r="B21" s="10" t="s">
        <v>42</v>
      </c>
      <c r="C21" s="14" t="n">
        <v>9401</v>
      </c>
      <c r="D21" s="14" t="n">
        <v>8850</v>
      </c>
      <c r="E21" s="13" t="n">
        <v>8175</v>
      </c>
    </row>
    <row r="22" customFormat="false" ht="15" hidden="false" customHeight="true" outlineLevel="0" collapsed="false">
      <c r="B22" s="12" t="s">
        <v>43</v>
      </c>
      <c r="C22" s="13" t="n">
        <v>-37</v>
      </c>
      <c r="D22" s="13" t="n">
        <v>-68</v>
      </c>
      <c r="E22" s="13" t="n">
        <v>-105</v>
      </c>
    </row>
    <row r="23" customFormat="false" ht="15" hidden="false" customHeight="true" outlineLevel="0" collapsed="false">
      <c r="B23" s="10" t="s">
        <v>44</v>
      </c>
      <c r="C23" s="14" t="n">
        <v>9364</v>
      </c>
      <c r="D23" s="14" t="n">
        <v>8783</v>
      </c>
      <c r="E23" s="13" t="n">
        <v>8071</v>
      </c>
    </row>
    <row r="25" customFormat="false" ht="15" hidden="false" customHeight="true" outlineLevel="0" collapsed="false">
      <c r="B25" s="12" t="s">
        <v>45</v>
      </c>
      <c r="C25" s="13" t="n">
        <v>-1760</v>
      </c>
      <c r="D25" s="13" t="n">
        <v>-1785</v>
      </c>
      <c r="E25" s="13" t="n">
        <v>-1363</v>
      </c>
    </row>
    <row r="26" customFormat="false" ht="15" hidden="false" customHeight="true" outlineLevel="0" collapsed="false">
      <c r="B26" s="12" t="s">
        <v>46</v>
      </c>
      <c r="C26" s="13" t="n">
        <v>513</v>
      </c>
      <c r="D26" s="13" t="n">
        <v>595</v>
      </c>
      <c r="E26" s="13" t="n">
        <v>469</v>
      </c>
    </row>
    <row r="27" customFormat="false" ht="15" hidden="false" customHeight="true" outlineLevel="0" collapsed="false">
      <c r="B27" s="10" t="s">
        <v>47</v>
      </c>
      <c r="C27" s="14" t="n">
        <v>-1247</v>
      </c>
      <c r="D27" s="14" t="n">
        <v>-1191</v>
      </c>
      <c r="E27" s="13" t="n">
        <v>-894</v>
      </c>
    </row>
    <row r="28" customFormat="false" ht="15" hidden="false" customHeight="true" outlineLevel="0" collapsed="false">
      <c r="B28" s="12" t="s">
        <v>48</v>
      </c>
      <c r="C28" s="13" t="n">
        <v>-181</v>
      </c>
      <c r="D28" s="13" t="n">
        <v>-217</v>
      </c>
      <c r="E28" s="13" t="n">
        <v>-157</v>
      </c>
    </row>
    <row r="29" customFormat="false" ht="15" hidden="false" customHeight="true" outlineLevel="0" collapsed="false">
      <c r="B29" s="12" t="s">
        <v>49</v>
      </c>
      <c r="C29" s="16" t="n">
        <f aca="false">C23+C27+C28-C19</f>
        <v>7636</v>
      </c>
      <c r="D29" s="16" t="n">
        <f aca="false">D23+D27+D28-D19</f>
        <v>7156</v>
      </c>
      <c r="E29" s="16" t="n">
        <f aca="false">E23+E27+E28</f>
        <v>7020</v>
      </c>
    </row>
    <row r="30" customFormat="false" ht="15" hidden="false" customHeight="true" outlineLevel="0" collapsed="false">
      <c r="B30" s="12" t="s">
        <v>50</v>
      </c>
      <c r="C30" s="13" t="n">
        <v>-2661</v>
      </c>
      <c r="D30" s="13" t="n">
        <v>-2102</v>
      </c>
      <c r="E30" s="13" t="n">
        <v>-1917</v>
      </c>
    </row>
    <row r="31" customFormat="false" ht="15" hidden="false" customHeight="true" outlineLevel="0" collapsed="false">
      <c r="B31" s="12" t="s">
        <v>51</v>
      </c>
      <c r="C31" s="17" t="n">
        <f aca="false">-C30/C29</f>
        <v>0.348480880041907</v>
      </c>
      <c r="D31" s="17" t="n">
        <f aca="false">-D30/D29</f>
        <v>0.293739519284516</v>
      </c>
      <c r="E31" s="17" t="n">
        <f aca="false">-E30/E29</f>
        <v>0.273076923076923</v>
      </c>
    </row>
    <row r="32" customFormat="false" ht="15" hidden="false" customHeight="true" outlineLevel="0" collapsed="false">
      <c r="B32" s="10" t="s">
        <v>52</v>
      </c>
      <c r="C32" s="14" t="n">
        <v>5275</v>
      </c>
      <c r="D32" s="14" t="n">
        <v>5274</v>
      </c>
      <c r="E32" s="13" t="n">
        <v>5102</v>
      </c>
    </row>
    <row r="33" customFormat="false" ht="15" hidden="false" customHeight="true" outlineLevel="0" collapsed="false">
      <c r="B33" s="12" t="s">
        <v>53</v>
      </c>
      <c r="C33" s="13" t="n">
        <v>372</v>
      </c>
      <c r="D33" s="13" t="n">
        <v>410</v>
      </c>
      <c r="E33" s="13" t="n">
        <v>400</v>
      </c>
    </row>
    <row r="34" customFormat="false" ht="15" hidden="false" customHeight="true" outlineLevel="0" collapsed="false">
      <c r="B34" s="10" t="s">
        <v>54</v>
      </c>
      <c r="C34" s="14" t="n">
        <v>4903</v>
      </c>
      <c r="D34" s="14" t="n">
        <v>4863</v>
      </c>
      <c r="E34" s="13" t="n">
        <v>4702</v>
      </c>
    </row>
    <row r="36" customFormat="false" ht="15" hidden="false" customHeight="true" outlineLevel="0" collapsed="false">
      <c r="B36" s="12" t="s">
        <v>55</v>
      </c>
      <c r="C36" s="13" t="n">
        <v>4206</v>
      </c>
      <c r="D36" s="13" t="n">
        <v>3998</v>
      </c>
      <c r="E36" s="13" t="n">
        <v>3799</v>
      </c>
    </row>
    <row r="37" customFormat="false" ht="15" hidden="false" customHeight="true" outlineLevel="0" collapsed="false">
      <c r="B37" s="12" t="s">
        <v>56</v>
      </c>
      <c r="C37" s="15" t="n">
        <f aca="false">C36/C7</f>
        <v>0.0563814528344884</v>
      </c>
      <c r="D37" s="15" t="n">
        <f aca="false">D36/D7</f>
        <v>0.0558200578026612</v>
      </c>
      <c r="E37" s="15" t="n">
        <f aca="false">E36/E7</f>
        <v>0.055187541764723</v>
      </c>
    </row>
    <row r="38" customFormat="false" ht="15" hidden="false" customHeight="true" outlineLevel="0" collapsed="false">
      <c r="B38" s="10" t="s">
        <v>57</v>
      </c>
      <c r="C38" s="14" t="n">
        <f aca="false">C14+C36</f>
        <v>13764</v>
      </c>
      <c r="D38" s="14" t="n">
        <f aca="false">D14+D36</f>
        <v>12995</v>
      </c>
      <c r="E38" s="14" t="n">
        <f aca="false">E14+E36</f>
        <v>12156</v>
      </c>
    </row>
    <row r="39" customFormat="false" ht="15" hidden="false" customHeight="true" outlineLevel="0" collapsed="false">
      <c r="B39" s="12" t="s">
        <v>58</v>
      </c>
      <c r="C39" s="15" t="n">
        <f aca="false">C38/C7</f>
        <v>0.18450649472513</v>
      </c>
      <c r="D39" s="15" t="n">
        <f aca="false">D38/D7</f>
        <v>0.181436130851821</v>
      </c>
      <c r="E39" s="15" t="n">
        <f aca="false">E38/E7</f>
        <v>0.176588512158982</v>
      </c>
    </row>
    <row r="41" customFormat="false" ht="15" hidden="false" customHeight="true" outlineLevel="0" collapsed="false">
      <c r="B41" s="18" t="s">
        <v>59</v>
      </c>
    </row>
    <row r="42" customFormat="false" ht="15" hidden="false" customHeight="true" outlineLevel="0" collapsed="false">
      <c r="B42" s="12" t="s">
        <v>60</v>
      </c>
      <c r="C42" s="19" t="n">
        <v>8.76</v>
      </c>
      <c r="D42" s="19" t="n">
        <v>8.53</v>
      </c>
      <c r="E42" s="19" t="n">
        <v>8.28</v>
      </c>
    </row>
    <row r="43" customFormat="false" ht="15" hidden="false" customHeight="true" outlineLevel="0" collapsed="false">
      <c r="B43" s="12" t="s">
        <v>61</v>
      </c>
      <c r="C43" s="19" t="n">
        <v>8.65</v>
      </c>
      <c r="D43" s="19" t="n">
        <v>8.43</v>
      </c>
      <c r="E43" s="19" t="n">
        <v>8.18</v>
      </c>
    </row>
    <row r="44" customFormat="false" ht="15" hidden="false" customHeight="true" outlineLevel="0" collapsed="false">
      <c r="B44" s="12" t="s">
        <v>62</v>
      </c>
      <c r="C44" s="20" t="n">
        <f aca="false">C34/C42</f>
        <v>559.703196347032</v>
      </c>
      <c r="D44" s="20" t="n">
        <f aca="false">D34/D42</f>
        <v>570.10550996483</v>
      </c>
      <c r="E44" s="20" t="n">
        <f aca="false">E34/E42</f>
        <v>567.874396135266</v>
      </c>
    </row>
    <row r="45" customFormat="false" ht="15" hidden="false" customHeight="true" outlineLevel="0" collapsed="false">
      <c r="B45" s="12" t="s">
        <v>63</v>
      </c>
      <c r="C45" s="20" t="n">
        <f aca="false">C34/C43</f>
        <v>566.820809248555</v>
      </c>
      <c r="D45" s="20" t="n">
        <f aca="false">D34/D43</f>
        <v>576.868327402135</v>
      </c>
      <c r="E45" s="20" t="n">
        <f aca="false">E34/E43</f>
        <v>574.81662591687</v>
      </c>
    </row>
    <row r="47" customFormat="false" ht="15" hidden="false" customHeight="true" outlineLevel="0" collapsed="false">
      <c r="B47" s="10" t="s">
        <v>64</v>
      </c>
    </row>
    <row r="48" customFormat="false" ht="15" hidden="false" customHeight="true" outlineLevel="0" collapsed="false">
      <c r="B48" s="12" t="s">
        <v>65</v>
      </c>
      <c r="C48" s="21" t="n">
        <v>0.258</v>
      </c>
    </row>
    <row r="49" customFormat="false" ht="15" hidden="false" customHeight="true" outlineLevel="0" collapsed="false">
      <c r="B49" s="12" t="s">
        <v>66</v>
      </c>
      <c r="C49" s="22" t="s">
        <v>67</v>
      </c>
    </row>
    <row r="50" customFormat="false" ht="15" hidden="false" customHeight="true" outlineLevel="0" collapsed="false">
      <c r="B50" s="12" t="s">
        <v>68</v>
      </c>
      <c r="C50" s="23" t="n">
        <v>0.348</v>
      </c>
    </row>
    <row r="51" customFormat="false" ht="15" hidden="false" customHeight="true" outlineLevel="0" collapsed="false">
      <c r="B51" s="12" t="s">
        <v>69</v>
      </c>
      <c r="C51" s="22" t="s">
        <v>70</v>
      </c>
    </row>
    <row r="52" customFormat="false" ht="15" hidden="false" customHeight="true" outlineLevel="0" collapsed="false">
      <c r="B52" s="12" t="s">
        <v>71</v>
      </c>
      <c r="C52" s="17" t="n">
        <f aca="false">C31</f>
        <v>0.348480880041907</v>
      </c>
      <c r="D52" s="17" t="n">
        <f aca="false">D31</f>
        <v>0.293739519284516</v>
      </c>
      <c r="E52" s="17" t="n">
        <f aca="false">E31</f>
        <v>0.273076923076923</v>
      </c>
    </row>
    <row r="53" customFormat="false" ht="15" hidden="false" customHeight="true" outlineLevel="0" collapsed="false">
      <c r="B53" s="10" t="s">
        <v>72</v>
      </c>
      <c r="C53" s="24" t="n">
        <v>0.348</v>
      </c>
    </row>
    <row r="54" customFormat="false" ht="15" hidden="false" customHeight="true" outlineLevel="0" collapsed="false">
      <c r="B54" s="10" t="s">
        <v>73</v>
      </c>
      <c r="C54" s="24" t="n">
        <v>0.258</v>
      </c>
    </row>
    <row r="56" customFormat="false" ht="15" hidden="false" customHeight="true" outlineLevel="0" collapsed="false">
      <c r="B56" s="10" t="s">
        <v>74</v>
      </c>
    </row>
    <row r="57" customFormat="false" ht="15" hidden="false" customHeight="true" outlineLevel="0" collapsed="false">
      <c r="C57" s="11" t="s">
        <v>27</v>
      </c>
      <c r="D57" s="11" t="s">
        <v>28</v>
      </c>
      <c r="E57" s="11" t="s">
        <v>29</v>
      </c>
    </row>
    <row r="58" customFormat="false" ht="15" hidden="false" customHeight="true" outlineLevel="0" collapsed="false">
      <c r="B58" s="18" t="s">
        <v>75</v>
      </c>
    </row>
    <row r="59" customFormat="false" ht="15" hidden="false" customHeight="true" outlineLevel="0" collapsed="false">
      <c r="B59" s="12" t="s">
        <v>76</v>
      </c>
      <c r="C59" s="13" t="n">
        <v>29007</v>
      </c>
      <c r="D59" s="13" t="n">
        <v>29672</v>
      </c>
      <c r="E59" s="13" t="n">
        <v>29000</v>
      </c>
    </row>
    <row r="60" customFormat="false" ht="15" hidden="false" customHeight="true" outlineLevel="0" collapsed="false">
      <c r="B60" s="12" t="s">
        <v>77</v>
      </c>
      <c r="C60" s="13" t="n">
        <v>20177</v>
      </c>
      <c r="D60" s="13" t="n">
        <v>19519</v>
      </c>
      <c r="E60" s="13" t="n">
        <v>17577</v>
      </c>
    </row>
    <row r="61" customFormat="false" ht="15" hidden="false" customHeight="true" outlineLevel="0" collapsed="false">
      <c r="B61" s="12" t="s">
        <v>78</v>
      </c>
      <c r="C61" s="13" t="n">
        <v>11258</v>
      </c>
      <c r="D61" s="13" t="n">
        <v>11786</v>
      </c>
      <c r="E61" s="13" t="n">
        <v>8038</v>
      </c>
    </row>
    <row r="62" customFormat="false" ht="15" hidden="false" customHeight="true" outlineLevel="0" collapsed="false">
      <c r="B62" s="12" t="s">
        <v>79</v>
      </c>
      <c r="C62" s="13" t="n">
        <v>16681</v>
      </c>
      <c r="D62" s="13" t="n">
        <v>15300</v>
      </c>
      <c r="E62" s="13" t="n">
        <v>13012</v>
      </c>
    </row>
    <row r="63" customFormat="false" ht="15" hidden="false" customHeight="true" outlineLevel="0" collapsed="false">
      <c r="B63" s="12" t="s">
        <v>80</v>
      </c>
      <c r="C63" s="13" t="n">
        <v>1995</v>
      </c>
      <c r="D63" s="13" t="n">
        <v>2105</v>
      </c>
      <c r="E63" s="13" t="n">
        <v>1267</v>
      </c>
    </row>
    <row r="64" customFormat="false" ht="15" hidden="false" customHeight="true" outlineLevel="0" collapsed="false">
      <c r="B64" s="12" t="s">
        <v>81</v>
      </c>
      <c r="C64" s="13" t="n">
        <v>2909</v>
      </c>
      <c r="D64" s="13" t="n">
        <v>2743</v>
      </c>
      <c r="E64" s="13" t="n">
        <v>2646</v>
      </c>
    </row>
    <row r="65" customFormat="false" ht="15" hidden="false" customHeight="true" outlineLevel="0" collapsed="false">
      <c r="B65" s="12" t="s">
        <v>82</v>
      </c>
      <c r="C65" s="13" t="n">
        <v>151</v>
      </c>
      <c r="D65" s="13" t="n">
        <v>167</v>
      </c>
      <c r="E65" s="13" t="n">
        <v>125</v>
      </c>
    </row>
    <row r="66" customFormat="false" ht="15" hidden="false" customHeight="true" outlineLevel="0" collapsed="false">
      <c r="B66" s="12" t="s">
        <v>83</v>
      </c>
      <c r="C66" s="13" t="n">
        <v>1333</v>
      </c>
      <c r="D66" s="13" t="n">
        <v>1268</v>
      </c>
      <c r="E66" s="13" t="n">
        <v>1122</v>
      </c>
    </row>
    <row r="67" customFormat="false" ht="15" hidden="false" customHeight="true" outlineLevel="0" collapsed="false">
      <c r="B67" s="10" t="s">
        <v>84</v>
      </c>
      <c r="C67" s="14" t="n">
        <f aca="false">SUM(C59:C66)</f>
        <v>83511</v>
      </c>
      <c r="D67" s="14" t="n">
        <f aca="false">SUM(D59:D66)</f>
        <v>82560</v>
      </c>
      <c r="E67" s="14" t="n">
        <f aca="false">SUM(E59:E66)</f>
        <v>72787</v>
      </c>
    </row>
    <row r="69" customFormat="false" ht="15" hidden="false" customHeight="true" outlineLevel="0" collapsed="false">
      <c r="B69" s="18" t="s">
        <v>85</v>
      </c>
    </row>
    <row r="70" customFormat="false" ht="15" hidden="false" customHeight="true" outlineLevel="0" collapsed="false">
      <c r="B70" s="12" t="s">
        <v>86</v>
      </c>
      <c r="C70" s="13" t="n">
        <v>1700</v>
      </c>
      <c r="D70" s="13" t="n">
        <v>1772</v>
      </c>
      <c r="E70" s="13" t="n">
        <v>1878</v>
      </c>
    </row>
    <row r="71" customFormat="false" ht="15" hidden="false" customHeight="true" outlineLevel="0" collapsed="false">
      <c r="B71" s="12" t="s">
        <v>87</v>
      </c>
      <c r="C71" s="13" t="n">
        <v>19504</v>
      </c>
      <c r="D71" s="13" t="n">
        <v>19365</v>
      </c>
      <c r="E71" s="13" t="n">
        <v>18698</v>
      </c>
    </row>
    <row r="72" customFormat="false" ht="15" hidden="false" customHeight="true" outlineLevel="0" collapsed="false">
      <c r="B72" s="12" t="s">
        <v>88</v>
      </c>
      <c r="C72" s="13" t="n">
        <v>8265</v>
      </c>
      <c r="D72" s="13" t="n">
        <v>8333</v>
      </c>
      <c r="E72" s="13" t="n">
        <v>7798</v>
      </c>
    </row>
    <row r="73" customFormat="false" ht="15" hidden="false" customHeight="true" outlineLevel="0" collapsed="false">
      <c r="B73" s="12" t="s">
        <v>89</v>
      </c>
      <c r="C73" s="13" t="n">
        <v>419</v>
      </c>
      <c r="D73" s="13" t="n">
        <v>415</v>
      </c>
      <c r="E73" s="13" t="n">
        <v>351</v>
      </c>
    </row>
    <row r="74" customFormat="false" ht="15" hidden="false" customHeight="true" outlineLevel="0" collapsed="false">
      <c r="B74" s="12" t="s">
        <v>90</v>
      </c>
      <c r="C74" s="13" t="n">
        <v>119</v>
      </c>
      <c r="D74" s="13" t="n">
        <v>76</v>
      </c>
      <c r="E74" s="13" t="n">
        <v>79</v>
      </c>
    </row>
    <row r="75" customFormat="false" ht="15" hidden="false" customHeight="true" outlineLevel="0" collapsed="false">
      <c r="B75" s="12" t="s">
        <v>91</v>
      </c>
      <c r="C75" s="13" t="n">
        <v>188</v>
      </c>
      <c r="D75" s="13" t="n">
        <v>137</v>
      </c>
      <c r="E75" s="13" t="n">
        <v>94</v>
      </c>
    </row>
    <row r="76" customFormat="false" ht="15" hidden="false" customHeight="true" outlineLevel="0" collapsed="false">
      <c r="B76" s="12" t="s">
        <v>92</v>
      </c>
      <c r="C76" s="13" t="n">
        <v>1244</v>
      </c>
      <c r="D76" s="13" t="n">
        <v>895</v>
      </c>
      <c r="E76" s="13" t="n">
        <v>545</v>
      </c>
    </row>
    <row r="77" customFormat="false" ht="15" hidden="false" customHeight="true" outlineLevel="0" collapsed="false">
      <c r="B77" s="12" t="s">
        <v>93</v>
      </c>
      <c r="C77" s="13" t="n">
        <v>17254</v>
      </c>
      <c r="D77" s="13" t="n">
        <v>15199</v>
      </c>
      <c r="E77" s="13" t="n">
        <v>15627</v>
      </c>
    </row>
    <row r="78" customFormat="false" ht="15" hidden="false" customHeight="true" outlineLevel="0" collapsed="false">
      <c r="B78" s="12" t="s">
        <v>94</v>
      </c>
      <c r="C78" s="14" t="n">
        <f aca="false">SUM(C70:C77)</f>
        <v>48693</v>
      </c>
      <c r="D78" s="14" t="n">
        <f aca="false">SUM(D70:D77)</f>
        <v>46192</v>
      </c>
      <c r="E78" s="14" t="n">
        <f aca="false">SUM(E70:E77)</f>
        <v>45070</v>
      </c>
    </row>
    <row r="79" customFormat="false" ht="15" hidden="false" customHeight="true" outlineLevel="0" collapsed="false">
      <c r="B79" s="12" t="s">
        <v>95</v>
      </c>
      <c r="C79" s="13" t="n">
        <v>860</v>
      </c>
      <c r="D79" s="13" t="n">
        <v>739</v>
      </c>
      <c r="E79" s="13" t="n">
        <v>702</v>
      </c>
    </row>
    <row r="80" customFormat="false" ht="15" hidden="false" customHeight="true" outlineLevel="0" collapsed="false">
      <c r="B80" s="10" t="s">
        <v>96</v>
      </c>
      <c r="C80" s="14" t="n">
        <f aca="false">C67+SUM(C70:C77)+C79</f>
        <v>133064</v>
      </c>
      <c r="D80" s="14" t="n">
        <f aca="false">D67+SUM(D70:D77)+D79</f>
        <v>129491</v>
      </c>
      <c r="E80" s="14" t="n">
        <f aca="false">E67+SUM(E70:E77)+E79</f>
        <v>118559</v>
      </c>
    </row>
    <row r="82" customFormat="false" ht="15" hidden="false" customHeight="true" outlineLevel="0" collapsed="false">
      <c r="B82" s="18" t="s">
        <v>97</v>
      </c>
    </row>
    <row r="83" customFormat="false" ht="15" hidden="false" customHeight="true" outlineLevel="0" collapsed="false">
      <c r="B83" s="12" t="s">
        <v>98</v>
      </c>
      <c r="C83" s="13" t="n">
        <v>1455</v>
      </c>
      <c r="D83" s="13" t="n">
        <v>1455</v>
      </c>
      <c r="E83" s="13" t="n">
        <v>1473</v>
      </c>
    </row>
    <row r="84" customFormat="false" ht="15" hidden="false" customHeight="true" outlineLevel="0" collapsed="false">
      <c r="B84" s="12" t="s">
        <v>99</v>
      </c>
      <c r="C84" s="13" t="n">
        <v>14811</v>
      </c>
      <c r="D84" s="13" t="n">
        <v>14059</v>
      </c>
      <c r="E84" s="13" t="n">
        <v>13407</v>
      </c>
    </row>
    <row r="85" customFormat="false" ht="15" hidden="false" customHeight="true" outlineLevel="0" collapsed="false">
      <c r="B85" s="12" t="s">
        <v>100</v>
      </c>
      <c r="C85" s="13" t="n">
        <v>-2796</v>
      </c>
      <c r="D85" s="13" t="n">
        <v>-1566</v>
      </c>
      <c r="E85" s="13" t="n">
        <v>-1419</v>
      </c>
    </row>
    <row r="86" customFormat="false" ht="15" hidden="false" customHeight="true" outlineLevel="0" collapsed="false">
      <c r="B86" s="12" t="s">
        <v>101</v>
      </c>
      <c r="C86" s="13" t="n">
        <v>13454</v>
      </c>
      <c r="D86" s="13" t="n">
        <v>11724</v>
      </c>
      <c r="E86" s="13" t="n">
        <v>10422</v>
      </c>
    </row>
    <row r="87" customFormat="false" ht="15" hidden="false" customHeight="true" outlineLevel="0" collapsed="false">
      <c r="B87" s="12" t="s">
        <v>102</v>
      </c>
      <c r="C87" s="13" t="n">
        <v>-906</v>
      </c>
      <c r="D87" s="13" t="n">
        <v>-32</v>
      </c>
      <c r="E87" s="13" t="n">
        <v>-91</v>
      </c>
    </row>
    <row r="88" customFormat="false" ht="15" hidden="false" customHeight="true" outlineLevel="0" collapsed="false">
      <c r="B88" s="12" t="s">
        <v>54</v>
      </c>
      <c r="C88" s="13" t="n">
        <v>4903</v>
      </c>
      <c r="D88" s="13" t="n">
        <v>4863</v>
      </c>
      <c r="E88" s="13" t="n">
        <v>4702</v>
      </c>
    </row>
    <row r="89" customFormat="false" ht="15" hidden="false" customHeight="true" outlineLevel="0" collapsed="false">
      <c r="B89" s="12" t="s">
        <v>103</v>
      </c>
      <c r="C89" s="13" t="n">
        <v>-168</v>
      </c>
      <c r="D89" s="13" t="n">
        <v>-555</v>
      </c>
      <c r="E89" s="13" t="n">
        <v>-382</v>
      </c>
    </row>
    <row r="90" customFormat="false" ht="15" hidden="false" customHeight="true" outlineLevel="0" collapsed="false">
      <c r="B90" s="12" t="s">
        <v>104</v>
      </c>
      <c r="C90" s="16" t="n">
        <f aca="false">SUM(C83:C89)</f>
        <v>30753</v>
      </c>
      <c r="D90" s="16" t="n">
        <f aca="false">SUM(D83:D89)</f>
        <v>29948</v>
      </c>
      <c r="E90" s="16" t="n">
        <f aca="false">SUM(E83:E89)</f>
        <v>28112</v>
      </c>
    </row>
    <row r="91" customFormat="false" ht="15" hidden="false" customHeight="true" outlineLevel="0" collapsed="false">
      <c r="B91" s="12" t="s">
        <v>105</v>
      </c>
      <c r="C91" s="13" t="n">
        <v>3576</v>
      </c>
      <c r="D91" s="13" t="n">
        <v>4085</v>
      </c>
      <c r="E91" s="13" t="n">
        <v>3928</v>
      </c>
    </row>
    <row r="92" customFormat="false" ht="15" hidden="false" customHeight="true" outlineLevel="0" collapsed="false">
      <c r="B92" s="10" t="s">
        <v>106</v>
      </c>
      <c r="C92" s="14" t="n">
        <f aca="false">SUM(C83:C89)+C91</f>
        <v>34329</v>
      </c>
      <c r="D92" s="14" t="n">
        <f aca="false">SUM(D83:D89)+D91</f>
        <v>34033</v>
      </c>
      <c r="E92" s="14" t="n">
        <f aca="false">SUM(E83:E89)+E91</f>
        <v>32040</v>
      </c>
    </row>
    <row r="94" customFormat="false" ht="15" hidden="false" customHeight="true" outlineLevel="0" collapsed="false">
      <c r="B94" s="18" t="s">
        <v>107</v>
      </c>
    </row>
    <row r="95" customFormat="false" ht="15" hidden="false" customHeight="true" outlineLevel="0" collapsed="false">
      <c r="B95" s="12" t="s">
        <v>108</v>
      </c>
      <c r="C95" s="13" t="n">
        <v>1068</v>
      </c>
      <c r="D95" s="13" t="n">
        <v>1011</v>
      </c>
      <c r="E95" s="13" t="n">
        <v>1127</v>
      </c>
    </row>
    <row r="96" customFormat="false" ht="15" hidden="false" customHeight="true" outlineLevel="0" collapsed="false">
      <c r="B96" s="12" t="s">
        <v>109</v>
      </c>
      <c r="C96" s="13" t="n">
        <v>1169</v>
      </c>
      <c r="D96" s="13" t="n">
        <v>1224</v>
      </c>
      <c r="E96" s="13" t="n">
        <v>1176</v>
      </c>
    </row>
    <row r="97" customFormat="false" ht="15" hidden="false" customHeight="true" outlineLevel="0" collapsed="false">
      <c r="B97" s="12" t="s">
        <v>110</v>
      </c>
      <c r="C97" s="13" t="n">
        <v>24787</v>
      </c>
      <c r="D97" s="13" t="n">
        <v>24454</v>
      </c>
      <c r="E97" s="13" t="n">
        <v>22048</v>
      </c>
    </row>
    <row r="98" customFormat="false" ht="15" hidden="false" customHeight="true" outlineLevel="0" collapsed="false">
      <c r="B98" s="12" t="s">
        <v>111</v>
      </c>
      <c r="C98" s="13" t="n">
        <v>5185</v>
      </c>
      <c r="D98" s="13" t="n">
        <v>4664</v>
      </c>
      <c r="E98" s="13" t="n">
        <v>3785</v>
      </c>
    </row>
    <row r="99" customFormat="false" ht="15" hidden="false" customHeight="true" outlineLevel="0" collapsed="false">
      <c r="B99" s="12" t="s">
        <v>112</v>
      </c>
      <c r="C99" s="13" t="n">
        <v>809</v>
      </c>
      <c r="D99" s="13" t="n">
        <v>1014</v>
      </c>
      <c r="E99" s="13" t="n">
        <v>1257</v>
      </c>
    </row>
    <row r="100" customFormat="false" ht="15" hidden="false" customHeight="true" outlineLevel="0" collapsed="false">
      <c r="B100" s="12" t="s">
        <v>113</v>
      </c>
      <c r="C100" s="13" t="n">
        <v>2112</v>
      </c>
      <c r="D100" s="13" t="n">
        <v>1949</v>
      </c>
      <c r="E100" s="13" t="n">
        <v>1675</v>
      </c>
    </row>
    <row r="101" customFormat="false" ht="15" hidden="false" customHeight="true" outlineLevel="0" collapsed="false">
      <c r="B101" s="12" t="s">
        <v>114</v>
      </c>
      <c r="C101" s="13" t="n">
        <v>747</v>
      </c>
      <c r="D101" s="13" t="n">
        <v>1117</v>
      </c>
      <c r="E101" s="13" t="n">
        <v>1076</v>
      </c>
    </row>
    <row r="102" customFormat="false" ht="15" hidden="false" customHeight="true" outlineLevel="0" collapsed="false">
      <c r="B102" s="12" t="s">
        <v>115</v>
      </c>
      <c r="C102" s="13" t="n">
        <v>4764</v>
      </c>
      <c r="D102" s="13" t="n">
        <v>4991</v>
      </c>
      <c r="E102" s="13" t="n">
        <v>4030</v>
      </c>
    </row>
    <row r="103" customFormat="false" ht="15" hidden="false" customHeight="true" outlineLevel="0" collapsed="false">
      <c r="B103" s="10" t="s">
        <v>116</v>
      </c>
      <c r="C103" s="14" t="n">
        <f aca="false">SUM(C95:C102)</f>
        <v>40641</v>
      </c>
      <c r="D103" s="14" t="n">
        <f aca="false">SUM(D95:D102)</f>
        <v>40424</v>
      </c>
      <c r="E103" s="14" t="n">
        <f aca="false">SUM(E95:E102)</f>
        <v>36174</v>
      </c>
    </row>
    <row r="105" customFormat="false" ht="15" hidden="false" customHeight="true" outlineLevel="0" collapsed="false">
      <c r="B105" s="18" t="s">
        <v>117</v>
      </c>
    </row>
    <row r="106" customFormat="false" ht="15" hidden="false" customHeight="true" outlineLevel="0" collapsed="false">
      <c r="B106" s="12" t="s">
        <v>118</v>
      </c>
      <c r="C106" s="13" t="n">
        <v>8353</v>
      </c>
      <c r="D106" s="13" t="n">
        <v>7828</v>
      </c>
      <c r="E106" s="13" t="n">
        <v>7304</v>
      </c>
    </row>
    <row r="107" customFormat="false" ht="15" hidden="false" customHeight="true" outlineLevel="0" collapsed="false">
      <c r="B107" s="12" t="s">
        <v>119</v>
      </c>
      <c r="C107" s="13" t="n">
        <v>14868</v>
      </c>
      <c r="D107" s="13" t="n">
        <v>14463</v>
      </c>
      <c r="E107" s="13" t="n">
        <v>13572</v>
      </c>
    </row>
    <row r="108" customFormat="false" ht="15" hidden="false" customHeight="true" outlineLevel="0" collapsed="false">
      <c r="B108" s="12" t="s">
        <v>120</v>
      </c>
      <c r="C108" s="13" t="n">
        <v>25612</v>
      </c>
      <c r="D108" s="13" t="n">
        <v>24144</v>
      </c>
      <c r="E108" s="13" t="n">
        <v>22431</v>
      </c>
    </row>
    <row r="109" customFormat="false" ht="15" hidden="false" customHeight="true" outlineLevel="0" collapsed="false">
      <c r="B109" s="12" t="s">
        <v>121</v>
      </c>
      <c r="C109" s="13" t="n">
        <v>709</v>
      </c>
      <c r="D109" s="13" t="n">
        <v>746</v>
      </c>
      <c r="E109" s="13" t="n">
        <v>594</v>
      </c>
    </row>
    <row r="110" customFormat="false" ht="15" hidden="false" customHeight="true" outlineLevel="0" collapsed="false">
      <c r="B110" s="12" t="s">
        <v>122</v>
      </c>
      <c r="C110" s="13" t="n">
        <v>737</v>
      </c>
      <c r="D110" s="13" t="n">
        <v>639</v>
      </c>
      <c r="E110" s="13" t="n">
        <v>572</v>
      </c>
    </row>
    <row r="111" customFormat="false" ht="15" hidden="false" customHeight="true" outlineLevel="0" collapsed="false">
      <c r="B111" s="12" t="s">
        <v>123</v>
      </c>
      <c r="C111" s="13" t="n">
        <v>399</v>
      </c>
      <c r="D111" s="13" t="n">
        <v>535</v>
      </c>
      <c r="E111" s="13" t="n">
        <v>476</v>
      </c>
    </row>
    <row r="112" customFormat="false" ht="15" hidden="false" customHeight="true" outlineLevel="0" collapsed="false">
      <c r="B112" s="12" t="s">
        <v>124</v>
      </c>
      <c r="C112" s="13" t="n">
        <v>6740</v>
      </c>
      <c r="D112" s="13" t="n">
        <v>6152</v>
      </c>
      <c r="E112" s="13" t="n">
        <v>4956</v>
      </c>
    </row>
    <row r="113" customFormat="false" ht="15" hidden="false" customHeight="true" outlineLevel="0" collapsed="false">
      <c r="B113" s="10" t="s">
        <v>125</v>
      </c>
      <c r="C113" s="14" t="n">
        <f aca="false">SUM(C106:C112)</f>
        <v>57418</v>
      </c>
      <c r="D113" s="14" t="n">
        <f aca="false">SUM(D106:D112)</f>
        <v>54507</v>
      </c>
      <c r="E113" s="14" t="n">
        <f aca="false">SUM(E106:E112)</f>
        <v>49905</v>
      </c>
    </row>
    <row r="114" customFormat="false" ht="15" hidden="false" customHeight="true" outlineLevel="0" collapsed="false">
      <c r="B114" s="12" t="s">
        <v>126</v>
      </c>
      <c r="C114" s="13" t="n">
        <v>678</v>
      </c>
      <c r="D114" s="13" t="n">
        <v>527</v>
      </c>
      <c r="E114" s="13" t="n">
        <v>438</v>
      </c>
    </row>
    <row r="115" customFormat="false" ht="15" hidden="false" customHeight="true" outlineLevel="0" collapsed="false">
      <c r="B115" s="10" t="s">
        <v>127</v>
      </c>
      <c r="C115" s="14" t="n">
        <f aca="false">C92+C103+SUM(C106:C112)+C114</f>
        <v>133066</v>
      </c>
      <c r="D115" s="14" t="n">
        <f aca="false">D92+D103+SUM(D106:D112)+D114</f>
        <v>129491</v>
      </c>
      <c r="E115" s="14" t="n">
        <f aca="false">E92+E103+SUM(E106:E112)+E114</f>
        <v>118557</v>
      </c>
    </row>
    <row r="117" customFormat="false" ht="15" hidden="false" customHeight="true" outlineLevel="0" collapsed="false">
      <c r="B117" s="10" t="s">
        <v>128</v>
      </c>
      <c r="C117" s="25" t="str">
        <f aca="false">IF(ABS(C80-C115)&lt;=2,"OK (rounding)","REVIEW")</f>
        <v>OK (rounding)</v>
      </c>
      <c r="D117" s="25" t="str">
        <f aca="false">IF(ABS(D80-D115)&lt;=2,"OK (rounding)","REVIEW")</f>
        <v>OK (rounding)</v>
      </c>
      <c r="E117" s="25" t="str">
        <f aca="false">IF(ABS(E80-E115)&lt;=2,"OK (rounding)","REVIEW")</f>
        <v>OK (rounding)</v>
      </c>
    </row>
    <row r="119" customFormat="false" ht="15" hidden="false" customHeight="true" outlineLevel="0" collapsed="false">
      <c r="B119" s="10" t="s">
        <v>129</v>
      </c>
    </row>
    <row r="120" customFormat="false" ht="15" hidden="false" customHeight="true" outlineLevel="0" collapsed="false">
      <c r="C120" s="11" t="s">
        <v>27</v>
      </c>
      <c r="D120" s="11" t="s">
        <v>28</v>
      </c>
      <c r="E120" s="11" t="s">
        <v>29</v>
      </c>
    </row>
    <row r="121" customFormat="false" ht="15" hidden="false" customHeight="true" outlineLevel="0" collapsed="false">
      <c r="B121" s="18" t="s">
        <v>130</v>
      </c>
    </row>
    <row r="122" customFormat="false" ht="15" hidden="false" customHeight="true" outlineLevel="0" collapsed="false">
      <c r="B122" s="12" t="s">
        <v>131</v>
      </c>
      <c r="C122" s="13" t="n">
        <v>5275</v>
      </c>
      <c r="D122" s="13" t="n">
        <v>5274</v>
      </c>
      <c r="E122" s="13" t="n">
        <v>5102</v>
      </c>
    </row>
    <row r="123" customFormat="false" ht="15" hidden="false" customHeight="true" outlineLevel="0" collapsed="false">
      <c r="B123" s="12" t="s">
        <v>132</v>
      </c>
      <c r="C123" s="13" t="n">
        <v>4206</v>
      </c>
      <c r="D123" s="13" t="n">
        <v>3998</v>
      </c>
      <c r="E123" s="13" t="n">
        <v>3799</v>
      </c>
    </row>
    <row r="124" customFormat="false" ht="15" hidden="false" customHeight="true" outlineLevel="0" collapsed="false">
      <c r="B124" s="12" t="s">
        <v>133</v>
      </c>
      <c r="C124" s="13" t="n">
        <v>129</v>
      </c>
      <c r="D124" s="13" t="n">
        <v>55</v>
      </c>
      <c r="E124" s="13" t="n">
        <v>134</v>
      </c>
    </row>
    <row r="125" customFormat="false" ht="15" hidden="false" customHeight="true" outlineLevel="0" collapsed="false">
      <c r="B125" s="12" t="s">
        <v>134</v>
      </c>
      <c r="C125" s="13" t="n">
        <v>318</v>
      </c>
      <c r="D125" s="13" t="n">
        <v>230</v>
      </c>
      <c r="E125" s="13" t="n">
        <v>131</v>
      </c>
    </row>
    <row r="126" customFormat="false" ht="15" hidden="false" customHeight="true" outlineLevel="0" collapsed="false">
      <c r="B126" s="12" t="s">
        <v>135</v>
      </c>
      <c r="C126" s="13" t="n">
        <v>-63</v>
      </c>
      <c r="D126" s="13" t="n">
        <v>-35</v>
      </c>
      <c r="E126" s="13" t="n">
        <v>35</v>
      </c>
    </row>
    <row r="127" customFormat="false" ht="15" hidden="false" customHeight="true" outlineLevel="0" collapsed="false">
      <c r="B127" s="12" t="s">
        <v>136</v>
      </c>
      <c r="C127" s="13" t="n">
        <v>15</v>
      </c>
      <c r="D127" s="13" t="n">
        <v>78</v>
      </c>
      <c r="E127" s="13" t="n">
        <v>56</v>
      </c>
    </row>
    <row r="128" customFormat="false" ht="15" hidden="false" customHeight="true" outlineLevel="0" collapsed="false">
      <c r="B128" s="12" t="s">
        <v>137</v>
      </c>
      <c r="C128" s="13" t="n">
        <v>-341</v>
      </c>
      <c r="D128" s="13" t="n">
        <v>-260</v>
      </c>
      <c r="E128" s="13" t="n">
        <v>-142</v>
      </c>
    </row>
    <row r="129" customFormat="false" ht="15" hidden="false" customHeight="true" outlineLevel="0" collapsed="false">
      <c r="B129" s="12" t="s">
        <v>138</v>
      </c>
      <c r="C129" s="13" t="n">
        <v>1247</v>
      </c>
      <c r="D129" s="13" t="n">
        <v>1191</v>
      </c>
      <c r="E129" s="13" t="n">
        <v>894</v>
      </c>
    </row>
    <row r="130" customFormat="false" ht="15" hidden="false" customHeight="true" outlineLevel="0" collapsed="false">
      <c r="B130" s="12" t="s">
        <v>139</v>
      </c>
      <c r="C130" s="13" t="n">
        <v>-125</v>
      </c>
      <c r="D130" s="13" t="n">
        <v>-127</v>
      </c>
      <c r="E130" s="13" t="n">
        <v>-118</v>
      </c>
    </row>
    <row r="131" customFormat="false" ht="15" hidden="false" customHeight="true" outlineLevel="0" collapsed="false">
      <c r="B131" s="12" t="s">
        <v>140</v>
      </c>
      <c r="C131" s="13" t="n">
        <v>185</v>
      </c>
      <c r="D131" s="13" t="n">
        <v>185</v>
      </c>
      <c r="E131" s="13" t="n">
        <v>155</v>
      </c>
    </row>
    <row r="132" customFormat="false" ht="15" hidden="false" customHeight="true" outlineLevel="0" collapsed="false">
      <c r="B132" s="12" t="s">
        <v>141</v>
      </c>
      <c r="C132" s="13" t="n">
        <v>2661</v>
      </c>
      <c r="D132" s="13" t="n">
        <v>2102</v>
      </c>
      <c r="E132" s="13" t="n">
        <v>1917</v>
      </c>
    </row>
    <row r="133" customFormat="false" ht="15" hidden="false" customHeight="true" outlineLevel="0" collapsed="false">
      <c r="B133" s="12" t="s">
        <v>142</v>
      </c>
      <c r="C133" s="14" t="n">
        <f aca="false">SUM(C122:C132)</f>
        <v>13507</v>
      </c>
      <c r="D133" s="14" t="n">
        <f aca="false">SUM(D122:D132)</f>
        <v>12691</v>
      </c>
      <c r="E133" s="14" t="n">
        <f aca="false">SUM(E122:E132)</f>
        <v>11963</v>
      </c>
    </row>
    <row r="134" customFormat="false" ht="15" hidden="false" customHeight="true" outlineLevel="0" collapsed="false">
      <c r="B134" s="12" t="s">
        <v>143</v>
      </c>
      <c r="C134" s="13" t="n">
        <v>2496</v>
      </c>
      <c r="D134" s="13" t="n">
        <v>2311</v>
      </c>
      <c r="E134" s="13" t="n">
        <v>1463</v>
      </c>
    </row>
    <row r="135" customFormat="false" ht="15" hidden="false" customHeight="true" outlineLevel="0" collapsed="false">
      <c r="B135" s="12" t="s">
        <v>144</v>
      </c>
      <c r="C135" s="13" t="n">
        <v>-3005</v>
      </c>
      <c r="D135" s="13" t="n">
        <v>-2220</v>
      </c>
      <c r="E135" s="13" t="n">
        <v>-2288</v>
      </c>
    </row>
    <row r="136" customFormat="false" ht="15" hidden="false" customHeight="true" outlineLevel="0" collapsed="false">
      <c r="B136" s="12" t="s">
        <v>145</v>
      </c>
      <c r="C136" s="13" t="n">
        <v>-1318</v>
      </c>
      <c r="D136" s="13" t="n">
        <v>-1177</v>
      </c>
      <c r="E136" s="13" t="n">
        <v>-802</v>
      </c>
    </row>
    <row r="137" customFormat="false" ht="15" hidden="false" customHeight="true" outlineLevel="0" collapsed="false">
      <c r="B137" s="12" t="s">
        <v>146</v>
      </c>
      <c r="C137" s="13" t="n">
        <v>282</v>
      </c>
      <c r="D137" s="13" t="n">
        <v>117</v>
      </c>
      <c r="E137" s="13" t="n">
        <v>110</v>
      </c>
    </row>
    <row r="138" customFormat="false" ht="15" hidden="false" customHeight="true" outlineLevel="0" collapsed="false">
      <c r="B138" s="12" t="s">
        <v>147</v>
      </c>
      <c r="C138" s="13" t="n">
        <v>-76</v>
      </c>
      <c r="D138" s="13" t="n">
        <v>-6</v>
      </c>
      <c r="E138" s="13" t="n">
        <v>93</v>
      </c>
    </row>
    <row r="139" customFormat="false" ht="15" hidden="false" customHeight="true" outlineLevel="0" collapsed="false">
      <c r="B139" s="10" t="s">
        <v>148</v>
      </c>
      <c r="C139" s="14" t="n">
        <v>11886</v>
      </c>
      <c r="D139" s="14" t="n">
        <v>11714</v>
      </c>
      <c r="E139" s="13" t="n">
        <v>10540</v>
      </c>
    </row>
    <row r="140" customFormat="false" ht="15" hidden="false" customHeight="true" outlineLevel="0" collapsed="false">
      <c r="B140" s="12" t="s">
        <v>149</v>
      </c>
      <c r="C140" s="12" t="str">
        <f aca="false">IF(ABS(SUM(C122:C132)+SUM(C134:C138)-C139)&lt;=2,"OK (rounding)","REVIEW — gap exceeds rounding")</f>
        <v>OK (rounding)</v>
      </c>
      <c r="D140" s="12" t="str">
        <f aca="false">IF(ABS(SUM(D122:D132)+SUM(D134:D138)-D139)&lt;=2,"OK (rounding)","REVIEW — gap exceeds rounding")</f>
        <v>OK (rounding)</v>
      </c>
      <c r="E140" s="12" t="str">
        <f aca="false">IF(ABS(SUM(E122:E132)+SUM(E134:E138)-E139)&lt;=2,"OK (rounding)","REVIEW — gap exceeds rounding")</f>
        <v>OK (rounding)</v>
      </c>
    </row>
    <row r="142" customFormat="false" ht="15" hidden="false" customHeight="true" outlineLevel="0" collapsed="false">
      <c r="B142" s="18" t="s">
        <v>150</v>
      </c>
    </row>
    <row r="143" customFormat="false" ht="15" hidden="false" customHeight="true" outlineLevel="0" collapsed="false">
      <c r="B143" s="12" t="s">
        <v>151</v>
      </c>
      <c r="C143" s="13" t="n">
        <v>-3011</v>
      </c>
      <c r="D143" s="13" t="n">
        <v>-2878</v>
      </c>
      <c r="E143" s="13" t="n">
        <v>-2251</v>
      </c>
    </row>
    <row r="144" customFormat="false" ht="15" hidden="false" customHeight="true" outlineLevel="0" collapsed="false">
      <c r="B144" s="12" t="s">
        <v>152</v>
      </c>
      <c r="C144" s="13" t="n">
        <v>179</v>
      </c>
      <c r="D144" s="13" t="n">
        <v>170</v>
      </c>
      <c r="E144" s="13" t="n">
        <v>148</v>
      </c>
    </row>
    <row r="145" customFormat="false" ht="15" hidden="false" customHeight="true" outlineLevel="0" collapsed="false">
      <c r="B145" s="12" t="s">
        <v>153</v>
      </c>
      <c r="C145" s="14" t="n">
        <f aca="false">SUM(C143:C144)</f>
        <v>-2832</v>
      </c>
      <c r="D145" s="14" t="n">
        <f aca="false">SUM(D143:D144)</f>
        <v>-2708</v>
      </c>
      <c r="E145" s="14" t="n">
        <f aca="false">SUM(E143:E144)</f>
        <v>-2103</v>
      </c>
    </row>
    <row r="146" customFormat="false" ht="15" hidden="false" customHeight="true" outlineLevel="0" collapsed="false">
      <c r="B146" s="12" t="s">
        <v>154</v>
      </c>
      <c r="C146" s="13" t="n">
        <v>-862</v>
      </c>
      <c r="D146" s="13" t="n">
        <v>-1174</v>
      </c>
      <c r="E146" s="13" t="n">
        <v>-1081</v>
      </c>
    </row>
    <row r="147" customFormat="false" ht="15" hidden="false" customHeight="true" outlineLevel="0" collapsed="false">
      <c r="B147" s="12" t="s">
        <v>155</v>
      </c>
      <c r="C147" s="13" t="n">
        <v>-311</v>
      </c>
      <c r="D147" s="13" t="n">
        <v>-279</v>
      </c>
      <c r="E147" s="13" t="n">
        <v>-49</v>
      </c>
    </row>
    <row r="148" customFormat="false" ht="15" hidden="false" customHeight="true" outlineLevel="0" collapsed="false">
      <c r="B148" s="12" t="s">
        <v>156</v>
      </c>
      <c r="C148" s="14" t="n">
        <f aca="false">SUM(C146:C147)</f>
        <v>-1173</v>
      </c>
      <c r="D148" s="14" t="n">
        <f aca="false">SUM(D146:D147)</f>
        <v>-1453</v>
      </c>
      <c r="E148" s="14" t="n">
        <f aca="false">SUM(E146:E147)</f>
        <v>-1130</v>
      </c>
    </row>
    <row r="149" customFormat="false" ht="15" hidden="false" customHeight="true" outlineLevel="0" collapsed="false">
      <c r="B149" s="10" t="s">
        <v>157</v>
      </c>
      <c r="C149" s="26" t="n">
        <f aca="false">C145+C148</f>
        <v>-4005</v>
      </c>
      <c r="D149" s="26" t="n">
        <f aca="false">D145+D148</f>
        <v>-4161</v>
      </c>
      <c r="E149" s="26" t="n">
        <f aca="false">E145+E148</f>
        <v>-3233</v>
      </c>
    </row>
    <row r="150" customFormat="false" ht="15" hidden="false" customHeight="true" outlineLevel="0" collapsed="false">
      <c r="B150" s="12" t="s">
        <v>158</v>
      </c>
      <c r="C150" s="13" t="n">
        <v>-1449</v>
      </c>
      <c r="D150" s="13" t="n">
        <v>-5006</v>
      </c>
      <c r="E150" s="13" t="n">
        <v>-648</v>
      </c>
    </row>
    <row r="151" customFormat="false" ht="15" hidden="false" customHeight="true" outlineLevel="0" collapsed="false">
      <c r="B151" s="12" t="s">
        <v>159</v>
      </c>
      <c r="C151" s="13" t="n">
        <v>290</v>
      </c>
      <c r="D151" s="13" t="n">
        <v>122</v>
      </c>
      <c r="E151" s="13" t="n">
        <v>110</v>
      </c>
    </row>
    <row r="152" customFormat="false" ht="15" hidden="false" customHeight="true" outlineLevel="0" collapsed="false">
      <c r="B152" s="12" t="s">
        <v>160</v>
      </c>
      <c r="C152" s="13" t="n">
        <v>358</v>
      </c>
      <c r="D152" s="13" t="n">
        <v>287</v>
      </c>
      <c r="E152" s="13" t="n">
        <v>141</v>
      </c>
    </row>
    <row r="153" customFormat="false" ht="15" hidden="false" customHeight="true" outlineLevel="0" collapsed="false">
      <c r="B153" s="12" t="s">
        <v>161</v>
      </c>
      <c r="C153" s="16" t="n">
        <f aca="false">SUM(C150:C152)</f>
        <v>-801</v>
      </c>
      <c r="D153" s="16" t="n">
        <f aca="false">SUM(D150:D152)</f>
        <v>-4597</v>
      </c>
      <c r="E153" s="16" t="n">
        <f aca="false">SUM(E150:E152)</f>
        <v>-397</v>
      </c>
    </row>
    <row r="154" customFormat="false" ht="15" hidden="false" customHeight="true" outlineLevel="0" collapsed="false">
      <c r="B154" s="12" t="s">
        <v>162</v>
      </c>
      <c r="C154" s="13" t="n">
        <v>-305</v>
      </c>
      <c r="D154" s="13" t="n">
        <v>-294</v>
      </c>
      <c r="E154" s="13" t="n">
        <v>-346</v>
      </c>
    </row>
    <row r="155" customFormat="false" ht="15" hidden="false" customHeight="true" outlineLevel="0" collapsed="false">
      <c r="B155" s="10" t="s">
        <v>163</v>
      </c>
      <c r="C155" s="14" t="n">
        <v>-5112</v>
      </c>
      <c r="D155" s="14" t="n">
        <v>-9051</v>
      </c>
      <c r="E155" s="13" t="n">
        <v>-3977</v>
      </c>
    </row>
    <row r="156" customFormat="false" ht="15" hidden="false" customHeight="true" outlineLevel="0" collapsed="false">
      <c r="B156" s="12" t="s">
        <v>149</v>
      </c>
      <c r="C156" s="12" t="str">
        <f aca="false">IF(ABS(C149+SUM(C150:C152)+C154-C155)&lt;=2,"OK (rounding)","REVIEW — gap exceeds rounding")</f>
        <v>OK (rounding)</v>
      </c>
      <c r="D156" s="12" t="str">
        <f aca="false">IF(ABS(D149+SUM(D150:D152)+D154-D155)&lt;=2,"OK (rounding)","REVIEW — gap exceeds rounding")</f>
        <v>OK (rounding)</v>
      </c>
      <c r="E156" s="12" t="str">
        <f aca="false">IF(ABS(E149+SUM(E150:E152)+E154-E155)&lt;=2,"OK (rounding)","REVIEW — gap exceeds rounding")</f>
        <v>OK (rounding)</v>
      </c>
    </row>
    <row r="158" customFormat="false" ht="15" hidden="false" customHeight="true" outlineLevel="0" collapsed="false">
      <c r="B158" s="18" t="s">
        <v>164</v>
      </c>
    </row>
    <row r="159" customFormat="false" ht="15" hidden="false" customHeight="true" outlineLevel="0" collapsed="false">
      <c r="B159" s="12" t="s">
        <v>165</v>
      </c>
      <c r="C159" s="13" t="n">
        <v>771</v>
      </c>
      <c r="D159" s="13" t="n">
        <v>668</v>
      </c>
      <c r="E159" s="13" t="n">
        <v>709</v>
      </c>
    </row>
    <row r="160" customFormat="false" ht="15" hidden="false" customHeight="true" outlineLevel="0" collapsed="false">
      <c r="B160" s="12" t="s">
        <v>166</v>
      </c>
      <c r="C160" s="13" t="n">
        <v>-2002</v>
      </c>
      <c r="D160" s="13" t="n">
        <v>-1912</v>
      </c>
      <c r="E160" s="13" t="n">
        <v>-397</v>
      </c>
    </row>
    <row r="161" customFormat="false" ht="15" hidden="false" customHeight="true" outlineLevel="0" collapsed="false">
      <c r="B161" s="12" t="s">
        <v>167</v>
      </c>
      <c r="C161" s="13" t="n">
        <v>11</v>
      </c>
      <c r="D161" s="13" t="n">
        <v>-2</v>
      </c>
      <c r="E161" s="13" t="n">
        <v>-1</v>
      </c>
    </row>
    <row r="162" customFormat="false" ht="15" hidden="false" customHeight="true" outlineLevel="0" collapsed="false">
      <c r="B162" s="12" t="s">
        <v>168</v>
      </c>
      <c r="C162" s="13" t="n">
        <v>-19</v>
      </c>
      <c r="D162" s="13" t="n">
        <v>-77</v>
      </c>
      <c r="E162" s="13" t="n">
        <v>-1</v>
      </c>
    </row>
    <row r="163" customFormat="false" ht="15" hidden="false" customHeight="true" outlineLevel="0" collapsed="false">
      <c r="B163" s="12" t="s">
        <v>169</v>
      </c>
      <c r="C163" s="13" t="n">
        <v>-2665</v>
      </c>
      <c r="D163" s="13" t="n">
        <v>-2570</v>
      </c>
      <c r="E163" s="13" t="n">
        <v>-2293</v>
      </c>
    </row>
    <row r="164" customFormat="false" ht="15" hidden="false" customHeight="true" outlineLevel="0" collapsed="false">
      <c r="B164" s="12" t="s">
        <v>170</v>
      </c>
      <c r="C164" s="13" t="n">
        <v>-805</v>
      </c>
      <c r="D164" s="13" t="n">
        <v>-902</v>
      </c>
      <c r="E164" s="13" t="n">
        <v>-187</v>
      </c>
    </row>
    <row r="165" customFormat="false" ht="15" hidden="false" customHeight="true" outlineLevel="0" collapsed="false">
      <c r="B165" s="12" t="s">
        <v>171</v>
      </c>
      <c r="C165" s="13" t="n">
        <v>5651</v>
      </c>
      <c r="D165" s="13" t="n">
        <v>4117</v>
      </c>
      <c r="E165" s="13" t="n">
        <v>3004</v>
      </c>
    </row>
    <row r="166" customFormat="false" ht="15" hidden="false" customHeight="true" outlineLevel="0" collapsed="false">
      <c r="B166" s="12" t="s">
        <v>172</v>
      </c>
      <c r="C166" s="13" t="n">
        <v>-4315</v>
      </c>
      <c r="D166" s="13" t="n">
        <v>-1993</v>
      </c>
      <c r="E166" s="13" t="n">
        <v>-2179</v>
      </c>
    </row>
    <row r="167" customFormat="false" ht="15" hidden="false" customHeight="true" outlineLevel="0" collapsed="false">
      <c r="B167" s="12" t="s">
        <v>173</v>
      </c>
      <c r="C167" s="13" t="n">
        <v>-871</v>
      </c>
      <c r="D167" s="13" t="n">
        <v>-745</v>
      </c>
      <c r="E167" s="13" t="n">
        <v>-679</v>
      </c>
    </row>
    <row r="168" customFormat="false" ht="15" hidden="false" customHeight="true" outlineLevel="0" collapsed="false">
      <c r="B168" s="12" t="s">
        <v>174</v>
      </c>
      <c r="C168" s="13" t="n">
        <v>-26</v>
      </c>
      <c r="D168" s="13" t="n">
        <v>387</v>
      </c>
      <c r="E168" s="13" t="n">
        <v>-1408</v>
      </c>
    </row>
    <row r="169" customFormat="false" ht="15" hidden="false" customHeight="true" outlineLevel="0" collapsed="false">
      <c r="B169" s="10" t="s">
        <v>175</v>
      </c>
      <c r="C169" s="14" t="n">
        <v>-4270</v>
      </c>
      <c r="D169" s="14" t="n">
        <v>-3027</v>
      </c>
      <c r="E169" s="13" t="n">
        <v>-3433</v>
      </c>
    </row>
    <row r="170" customFormat="false" ht="15" hidden="false" customHeight="true" outlineLevel="0" collapsed="false">
      <c r="B170" s="12" t="s">
        <v>149</v>
      </c>
      <c r="C170" s="27" t="str">
        <f aca="false">IF(ABS(SUM(C159:C168)-C169)&lt;=2,"OK (rounding)","REVIEW — gap exceeds rounding")</f>
        <v>OK (rounding)</v>
      </c>
      <c r="D170" s="12" t="str">
        <f aca="false">IF(ABS(SUM(D159:D168)-D169)&lt;=2,"OK (rounding)","REVIEW — gap exceeds rounding")</f>
        <v>OK (rounding)</v>
      </c>
      <c r="E170" s="27" t="str">
        <f aca="false">IF(ABS(SUM(E159:E168)-E169)&lt;=2,"OK (rounding)","REVIEW — gap exceeds rounding")</f>
        <v>OK (rounding)</v>
      </c>
    </row>
    <row r="172" customFormat="false" ht="15" hidden="false" customHeight="true" outlineLevel="0" collapsed="false">
      <c r="B172" s="12" t="s">
        <v>176</v>
      </c>
      <c r="C172" s="13" t="n">
        <v>-142</v>
      </c>
      <c r="D172" s="13" t="n">
        <v>-40</v>
      </c>
      <c r="E172" s="13" t="n">
        <v>76</v>
      </c>
    </row>
    <row r="173" customFormat="false" ht="15" hidden="false" customHeight="true" outlineLevel="0" collapsed="false">
      <c r="B173" s="10" t="s">
        <v>177</v>
      </c>
      <c r="C173" s="14" t="n">
        <f aca="false">C139+C155+C169+C172</f>
        <v>2362</v>
      </c>
      <c r="D173" s="14" t="n">
        <f aca="false">D139+D155+D169+D172</f>
        <v>-404</v>
      </c>
      <c r="E173" s="14" t="n">
        <f aca="false">E139+E155+E169+E172</f>
        <v>3206</v>
      </c>
    </row>
    <row r="174" customFormat="false" ht="15" hidden="false" customHeight="true" outlineLevel="0" collapsed="false">
      <c r="B174" s="12" t="s">
        <v>178</v>
      </c>
      <c r="C174" s="13" t="n">
        <v>14297</v>
      </c>
      <c r="D174" s="13" t="n">
        <v>14701</v>
      </c>
      <c r="E174" s="13" t="n">
        <v>11495</v>
      </c>
    </row>
    <row r="175" customFormat="false" ht="15" hidden="false" customHeight="true" outlineLevel="0" collapsed="false">
      <c r="B175" s="12" t="s">
        <v>179</v>
      </c>
      <c r="C175" s="13" t="n">
        <v>16660</v>
      </c>
      <c r="D175" s="13" t="n">
        <v>14297</v>
      </c>
      <c r="E175" s="13" t="n">
        <v>14701</v>
      </c>
    </row>
    <row r="177" customFormat="false" ht="15" hidden="false" customHeight="true" outlineLevel="0" collapsed="false">
      <c r="B177" s="10" t="s">
        <v>180</v>
      </c>
    </row>
    <row r="178" customFormat="false" ht="15" hidden="false" customHeight="true" outlineLevel="0" collapsed="false">
      <c r="C178" s="11" t="s">
        <v>27</v>
      </c>
      <c r="D178" s="11" t="s">
        <v>28</v>
      </c>
    </row>
    <row r="179" customFormat="false" ht="15" hidden="false" customHeight="true" outlineLevel="0" collapsed="false">
      <c r="B179" s="12" t="s">
        <v>181</v>
      </c>
      <c r="C179" s="16" t="n">
        <f aca="false">C70+C71+C72</f>
        <v>29469</v>
      </c>
      <c r="D179" s="16" t="n">
        <f aca="false">D70+D71+D72</f>
        <v>29470</v>
      </c>
      <c r="E179" s="16" t="n">
        <f aca="false">E70+E71+E72</f>
        <v>28374</v>
      </c>
    </row>
    <row r="180" customFormat="false" ht="15" hidden="false" customHeight="true" outlineLevel="0" collapsed="false">
      <c r="B180" s="12" t="s">
        <v>182</v>
      </c>
      <c r="C180" s="16" t="n">
        <f aca="false">C106+C107+C108</f>
        <v>48833</v>
      </c>
      <c r="D180" s="16" t="n">
        <f aca="false">D106+D107+D108</f>
        <v>46435</v>
      </c>
      <c r="E180" s="16" t="n">
        <f aca="false">E106+E107+E108</f>
        <v>43307</v>
      </c>
    </row>
    <row r="181" customFormat="false" ht="15" hidden="false" customHeight="true" outlineLevel="0" collapsed="false">
      <c r="B181" s="10" t="s">
        <v>183</v>
      </c>
      <c r="C181" s="14" t="n">
        <f aca="false">C179-C180</f>
        <v>-19364</v>
      </c>
      <c r="D181" s="14" t="n">
        <f aca="false">D179-D180</f>
        <v>-16965</v>
      </c>
      <c r="E181" s="14" t="n">
        <f aca="false">E179-E180</f>
        <v>-14933</v>
      </c>
    </row>
    <row r="182" customFormat="false" ht="15" hidden="false" customHeight="true" outlineLevel="0" collapsed="false">
      <c r="B182" s="12" t="s">
        <v>184</v>
      </c>
      <c r="C182" s="17" t="n">
        <f aca="false">C181/C7</f>
        <v>-0.259574525127683</v>
      </c>
      <c r="D182" s="17" t="n">
        <f aca="false">D181/D7</f>
        <v>-0.236865252781928</v>
      </c>
      <c r="E182" s="17" t="n">
        <f aca="false">E181/E7</f>
        <v>-0.216929602835643</v>
      </c>
    </row>
    <row r="184" customFormat="false" ht="15" hidden="false" customHeight="true" outlineLevel="0" collapsed="false">
      <c r="B184" s="10" t="s">
        <v>185</v>
      </c>
    </row>
    <row r="185" customFormat="false" ht="15" hidden="false" customHeight="true" outlineLevel="0" collapsed="false">
      <c r="C185" s="11" t="s">
        <v>27</v>
      </c>
      <c r="D185" s="11" t="s">
        <v>28</v>
      </c>
    </row>
    <row r="186" customFormat="false" ht="15" hidden="false" customHeight="true" outlineLevel="0" collapsed="false">
      <c r="B186" s="12" t="s">
        <v>186</v>
      </c>
      <c r="C186" s="13" t="n">
        <v>-36712</v>
      </c>
      <c r="D186" s="13" t="n">
        <v>-35271</v>
      </c>
      <c r="E186" s="13" t="n">
        <f aca="false">-(E97+E98+E112)</f>
        <v>-30789</v>
      </c>
    </row>
    <row r="187" customFormat="false" ht="15" hidden="false" customHeight="true" outlineLevel="0" collapsed="false">
      <c r="B187" s="12" t="s">
        <v>187</v>
      </c>
      <c r="C187" s="12" t="str">
        <f aca="false">IF(ABS((C97+C98+C112)-(-C186))&lt;=1,"OK","REVIEW")</f>
        <v>OK</v>
      </c>
      <c r="E187" s="12" t="str">
        <f aca="false">IF(ABS((E97+E98+E112)-(-E186))&lt;=1,"OK","REVIEW")</f>
        <v>OK</v>
      </c>
    </row>
    <row r="188" customFormat="false" ht="15" hidden="false" customHeight="true" outlineLevel="0" collapsed="false">
      <c r="B188" s="12" t="s">
        <v>188</v>
      </c>
      <c r="C188" s="13" t="n">
        <v>18506</v>
      </c>
      <c r="D188" s="13" t="n">
        <v>16101</v>
      </c>
    </row>
    <row r="189" customFormat="false" ht="15" hidden="false" customHeight="true" outlineLevel="0" collapsed="false">
      <c r="B189" s="12" t="s">
        <v>189</v>
      </c>
      <c r="C189" s="13" t="n">
        <v>-869</v>
      </c>
      <c r="D189" s="13" t="n">
        <v>-1245</v>
      </c>
    </row>
    <row r="190" customFormat="false" ht="15" hidden="false" customHeight="true" outlineLevel="0" collapsed="false">
      <c r="B190" s="12" t="s">
        <v>190</v>
      </c>
      <c r="C190" s="16" t="n">
        <f aca="false">C186+C188+C189</f>
        <v>-19075</v>
      </c>
      <c r="D190" s="16" t="n">
        <f aca="false">D186+D188+D189</f>
        <v>-20415</v>
      </c>
      <c r="E190" s="13" t="n">
        <v>-16126</v>
      </c>
    </row>
    <row r="191" customFormat="false" ht="15" hidden="false" customHeight="true" outlineLevel="0" collapsed="false">
      <c r="B191" s="10" t="s">
        <v>191</v>
      </c>
      <c r="C191" s="26" t="n">
        <f aca="false">-C190</f>
        <v>19075</v>
      </c>
      <c r="D191" s="14" t="n">
        <f aca="false">-D190</f>
        <v>20415</v>
      </c>
      <c r="E191" s="26" t="n">
        <f aca="false">-E190</f>
        <v>16126</v>
      </c>
    </row>
    <row r="193" customFormat="false" ht="15" hidden="false" customHeight="true" outlineLevel="0" collapsed="false">
      <c r="B193" s="10" t="s">
        <v>192</v>
      </c>
    </row>
    <row r="194" customFormat="false" ht="15" hidden="false" customHeight="true" outlineLevel="0" collapsed="false">
      <c r="C194" s="11" t="s">
        <v>193</v>
      </c>
    </row>
    <row r="195" customFormat="false" ht="15" hidden="false" customHeight="true" outlineLevel="0" collapsed="false">
      <c r="B195" s="12" t="s">
        <v>194</v>
      </c>
      <c r="C195" s="19" t="n">
        <v>126.9</v>
      </c>
    </row>
    <row r="196" customFormat="false" ht="15" hidden="false" customHeight="true" outlineLevel="0" collapsed="false">
      <c r="B196" s="12" t="s">
        <v>195</v>
      </c>
      <c r="C196" s="19" t="n">
        <v>112.4</v>
      </c>
      <c r="D196" s="19" t="n">
        <v>143.15</v>
      </c>
    </row>
    <row r="197" customFormat="false" ht="15" hidden="false" customHeight="true" outlineLevel="0" collapsed="false">
      <c r="B197" s="12" t="s">
        <v>196</v>
      </c>
      <c r="C197" s="13" t="n">
        <v>67790</v>
      </c>
    </row>
    <row r="198" customFormat="false" ht="15" hidden="false" customHeight="true" outlineLevel="0" collapsed="false">
      <c r="B198" s="12" t="s">
        <v>197</v>
      </c>
      <c r="C198" s="28" t="n">
        <v>530.01</v>
      </c>
    </row>
    <row r="199" customFormat="false" ht="15" hidden="false" customHeight="true" outlineLevel="0" collapsed="false">
      <c r="B199" s="12" t="s">
        <v>198</v>
      </c>
      <c r="C199" s="19" t="n">
        <v>0.75</v>
      </c>
    </row>
    <row r="201" customFormat="false" ht="15" hidden="false" customHeight="true" outlineLevel="0" collapsed="false">
      <c r="B201" s="10" t="s">
        <v>199</v>
      </c>
    </row>
    <row r="202" customFormat="false" ht="15" hidden="false" customHeight="true" outlineLevel="0" collapsed="false">
      <c r="B202" s="12" t="s">
        <v>200</v>
      </c>
      <c r="C202" s="19" t="n">
        <v>99.58</v>
      </c>
    </row>
    <row r="203" customFormat="false" ht="15" hidden="false" customHeight="true" outlineLevel="0" collapsed="false">
      <c r="B203" s="12" t="s">
        <v>201</v>
      </c>
      <c r="C203" s="29" t="n">
        <v>0.03375</v>
      </c>
    </row>
    <row r="204" customFormat="false" ht="15" hidden="false" customHeight="true" outlineLevel="0" collapsed="false">
      <c r="B204" s="12" t="s">
        <v>202</v>
      </c>
      <c r="C204" s="15" t="n">
        <f aca="false">C203/(C202/100)</f>
        <v>0.0338923478610163</v>
      </c>
    </row>
    <row r="205" customFormat="false" ht="15" hidden="false" customHeight="true" outlineLevel="0" collapsed="false">
      <c r="B205" s="12" t="s">
        <v>203</v>
      </c>
      <c r="C205" s="23" t="n">
        <v>0.044</v>
      </c>
    </row>
    <row r="207" customFormat="false" ht="15" hidden="false" customHeight="true" outlineLevel="0" collapsed="false">
      <c r="B207" s="10" t="s">
        <v>204</v>
      </c>
    </row>
    <row r="208" customFormat="false" ht="15" hidden="false" customHeight="true" outlineLevel="0" collapsed="false">
      <c r="C208" s="10" t="s">
        <v>30</v>
      </c>
      <c r="D208" s="10" t="s">
        <v>205</v>
      </c>
    </row>
    <row r="209" customFormat="false" ht="15" hidden="false" customHeight="true" outlineLevel="0" collapsed="false">
      <c r="B209" s="12" t="s">
        <v>206</v>
      </c>
      <c r="C209" s="13" t="n">
        <v>6733</v>
      </c>
      <c r="D209" s="13" t="n">
        <v>4784</v>
      </c>
    </row>
    <row r="210" customFormat="false" ht="15" hidden="false" customHeight="true" outlineLevel="0" collapsed="false">
      <c r="B210" s="12" t="s">
        <v>207</v>
      </c>
      <c r="C210" s="13" t="n">
        <v>4796</v>
      </c>
      <c r="D210" s="13" t="n">
        <v>3042</v>
      </c>
    </row>
    <row r="211" customFormat="false" ht="15" hidden="false" customHeight="true" outlineLevel="0" collapsed="false">
      <c r="B211" s="12" t="s">
        <v>208</v>
      </c>
      <c r="C211" s="13" t="n">
        <v>29612</v>
      </c>
      <c r="D211" s="13" t="n">
        <v>2805</v>
      </c>
    </row>
    <row r="212" customFormat="false" ht="15" hidden="false" customHeight="true" outlineLevel="0" collapsed="false">
      <c r="B212" s="12" t="s">
        <v>209</v>
      </c>
      <c r="C212" s="13" t="n">
        <v>33241</v>
      </c>
      <c r="D212" s="13" t="n">
        <v>2194</v>
      </c>
    </row>
    <row r="213" customFormat="false" ht="15" hidden="false" customHeight="true" outlineLevel="0" collapsed="false">
      <c r="B213" s="12" t="s">
        <v>210</v>
      </c>
      <c r="C213" s="16" t="n">
        <f aca="false">SUM(C209:C212)</f>
        <v>74382</v>
      </c>
      <c r="D213" s="16" t="n">
        <f aca="false">SUM(D209:D212)</f>
        <v>12825</v>
      </c>
    </row>
    <row r="214" customFormat="false" ht="15" hidden="false" customHeight="true" outlineLevel="0" collapsed="false">
      <c r="B214" s="12" t="s">
        <v>211</v>
      </c>
      <c r="C214" s="16" t="n">
        <f aca="false">C213-C7</f>
        <v>-217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7" width="2"/>
    <col collapsed="false" customWidth="true" hidden="false" outlineLevel="0" max="2" min="2" style="7" width="26"/>
    <col collapsed="false" customWidth="true" hidden="false" outlineLevel="0" max="7" min="3" style="7" width="12"/>
    <col collapsed="false" customWidth="true" hidden="false" outlineLevel="0" max="8" min="8" style="7" width="2"/>
    <col collapsed="false" customWidth="true" hidden="false" outlineLevel="0" max="9" min="9" style="7" width="60"/>
  </cols>
  <sheetData>
    <row r="2" customFormat="false" ht="17.25" hidden="false" customHeight="true" outlineLevel="0" collapsed="false">
      <c r="B2" s="8" t="s">
        <v>212</v>
      </c>
    </row>
    <row r="3" customFormat="false" ht="15" hidden="false" customHeight="true" outlineLevel="0" collapsed="false">
      <c r="B3" s="9" t="str">
        <f aca="false">Historicals!B2</f>
        <v>Vinci SA — Historicals &amp; Sources (all figures EUR millions unless noted)</v>
      </c>
    </row>
    <row r="4" customFormat="false" ht="15" hidden="false" customHeight="true" outlineLevel="0" collapsed="false">
      <c r="B4" s="10" t="s">
        <v>213</v>
      </c>
    </row>
    <row r="5" customFormat="false" ht="15" hidden="false" customHeight="true" outlineLevel="0" collapsed="false">
      <c r="I5" s="10" t="s">
        <v>214</v>
      </c>
    </row>
    <row r="6" customFormat="false" ht="15" hidden="false" customHeight="true" outlineLevel="0" collapsed="false">
      <c r="B6" s="12" t="s">
        <v>215</v>
      </c>
      <c r="C6" s="30" t="n">
        <f aca="false">Historicals!C205</f>
        <v>0.044</v>
      </c>
      <c r="I6" s="12" t="s">
        <v>216</v>
      </c>
    </row>
    <row r="7" customFormat="false" ht="15" hidden="false" customHeight="true" outlineLevel="0" collapsed="false">
      <c r="B7" s="12" t="s">
        <v>217</v>
      </c>
      <c r="C7" s="31" t="n">
        <f aca="false">Historicals!C54</f>
        <v>0.258</v>
      </c>
      <c r="I7" s="12" t="s">
        <v>218</v>
      </c>
    </row>
    <row r="8" customFormat="false" ht="15" hidden="false" customHeight="true" outlineLevel="0" collapsed="false">
      <c r="B8" s="12" t="s">
        <v>219</v>
      </c>
      <c r="C8" s="15" t="n">
        <f aca="false">C6*(1-C7)</f>
        <v>0.032648</v>
      </c>
      <c r="I8" s="12" t="s">
        <v>220</v>
      </c>
    </row>
    <row r="10" customFormat="false" ht="15" hidden="false" customHeight="true" outlineLevel="0" collapsed="false">
      <c r="B10" s="12" t="s">
        <v>221</v>
      </c>
      <c r="C10" s="23" t="n">
        <v>0.02988</v>
      </c>
      <c r="I10" s="12" t="s">
        <v>222</v>
      </c>
    </row>
    <row r="11" customFormat="false" ht="15" hidden="false" customHeight="true" outlineLevel="0" collapsed="false">
      <c r="B11" s="12" t="s">
        <v>223</v>
      </c>
      <c r="C11" s="32" t="n">
        <f aca="false">Historicals!C199</f>
        <v>0.75</v>
      </c>
      <c r="I11" s="12" t="s">
        <v>224</v>
      </c>
    </row>
    <row r="12" customFormat="false" ht="15" hidden="false" customHeight="true" outlineLevel="0" collapsed="false">
      <c r="B12" s="12" t="s">
        <v>225</v>
      </c>
      <c r="C12" s="23" t="n">
        <v>0.0501</v>
      </c>
      <c r="I12" s="12" t="s">
        <v>226</v>
      </c>
    </row>
    <row r="13" customFormat="false" ht="15" hidden="false" customHeight="true" outlineLevel="0" collapsed="false">
      <c r="B13" s="12" t="s">
        <v>227</v>
      </c>
      <c r="C13" s="15" t="n">
        <f aca="false">C10+C11*C12</f>
        <v>0.067455</v>
      </c>
      <c r="I13" s="12" t="s">
        <v>228</v>
      </c>
    </row>
    <row r="15" customFormat="false" ht="15" hidden="false" customHeight="true" outlineLevel="0" collapsed="false">
      <c r="B15" s="10" t="s">
        <v>229</v>
      </c>
    </row>
    <row r="16" customFormat="false" ht="15" hidden="false" customHeight="true" outlineLevel="0" collapsed="false">
      <c r="C16" s="11" t="s">
        <v>230</v>
      </c>
      <c r="D16" s="11" t="s">
        <v>231</v>
      </c>
    </row>
    <row r="18" customFormat="false" ht="15" hidden="false" customHeight="true" outlineLevel="0" collapsed="false">
      <c r="B18" s="12" t="s">
        <v>97</v>
      </c>
      <c r="C18" s="33" t="n">
        <f aca="false">Historicals!C197</f>
        <v>67790</v>
      </c>
      <c r="D18" s="17" t="n">
        <f aca="false">C18/(C18+C19)</f>
        <v>0.780406377712542</v>
      </c>
    </row>
    <row r="19" customFormat="false" ht="15" hidden="false" customHeight="true" outlineLevel="0" collapsed="false">
      <c r="B19" s="12" t="s">
        <v>232</v>
      </c>
      <c r="C19" s="33" t="n">
        <f aca="false">Historicals!C191</f>
        <v>19075</v>
      </c>
      <c r="D19" s="17" t="n">
        <f aca="false">1-D18</f>
        <v>0.219593622287458</v>
      </c>
      <c r="I19" s="12" t="s">
        <v>233</v>
      </c>
    </row>
    <row r="21" customFormat="false" ht="15" hidden="false" customHeight="true" outlineLevel="0" collapsed="false">
      <c r="B21" s="34" t="s">
        <v>234</v>
      </c>
      <c r="C21" s="35" t="n">
        <f aca="false">C8*D19+C13*D18</f>
        <v>0.0598116047890405</v>
      </c>
    </row>
    <row r="23" customFormat="false" ht="15" hidden="false" customHeight="true" outlineLevel="0" collapsed="false">
      <c r="B23" s="10" t="s">
        <v>235</v>
      </c>
    </row>
    <row r="24" customFormat="false" ht="15" hidden="false" customHeight="true" outlineLevel="0" collapsed="false">
      <c r="D24" s="11" t="s">
        <v>223</v>
      </c>
    </row>
    <row r="25" customFormat="false" ht="15" hidden="false" customHeight="true" outlineLevel="0" collapsed="false">
      <c r="C25" s="36" t="n">
        <f aca="false">C21</f>
        <v>0.0598116047890405</v>
      </c>
      <c r="D25" s="37" t="n">
        <f aca="false">$C$11-0.1</f>
        <v>0.65</v>
      </c>
      <c r="E25" s="37" t="n">
        <f aca="false">$C$11-0.05</f>
        <v>0.7</v>
      </c>
      <c r="F25" s="37" t="n">
        <f aca="false">$C$11</f>
        <v>0.75</v>
      </c>
      <c r="G25" s="37" t="n">
        <f aca="false">$C$11+0.05</f>
        <v>0.8</v>
      </c>
      <c r="H25" s="37" t="n">
        <f aca="false">$C$11+0.1</f>
        <v>0.85</v>
      </c>
    </row>
    <row r="26" customFormat="false" ht="15" hidden="false" customHeight="true" outlineLevel="0" collapsed="false">
      <c r="C26" s="15" t="n">
        <f aca="false">$C$12-0.005</f>
        <v>0.0451</v>
      </c>
      <c r="D26" s="15" t="n">
        <f aca="false">$C$8*$D$19+($C$10+D$25*$C26)*$D$18</f>
        <v>0.0533654481091349</v>
      </c>
      <c r="E26" s="15" t="n">
        <f aca="false">$C$8*$D$19+($C$10+E$25*$C26)*$D$18</f>
        <v>0.0551252644908767</v>
      </c>
      <c r="F26" s="15" t="n">
        <f aca="false">$C$8*$D$19+($C$10+F$25*$C26)*$D$18</f>
        <v>0.0568850808726184</v>
      </c>
      <c r="G26" s="15" t="n">
        <f aca="false">$C$8*$D$19+($C$10+G$25*$C26)*$D$18</f>
        <v>0.0586448972543602</v>
      </c>
      <c r="H26" s="15" t="n">
        <f aca="false">$C$8*$D$19+($C$10+H$25*$C26)*$D$18</f>
        <v>0.060404713636102</v>
      </c>
    </row>
    <row r="27" customFormat="false" ht="15" hidden="false" customHeight="true" outlineLevel="0" collapsed="false">
      <c r="B27" s="10" t="s">
        <v>236</v>
      </c>
      <c r="C27" s="15" t="n">
        <f aca="false">$C$12-0.0025</f>
        <v>0.0476</v>
      </c>
      <c r="D27" s="15" t="n">
        <f aca="false">$C$8*$D$19+($C$10+D$25*$C27)*$D$18</f>
        <v>0.0546336084729178</v>
      </c>
      <c r="E27" s="15" t="n">
        <f aca="false">$C$8*$D$19+($C$10+E$25*$C27)*$D$18</f>
        <v>0.0564909756518736</v>
      </c>
      <c r="F27" s="15" t="n">
        <f aca="false">$C$8*$D$19+($C$10+F$25*$C27)*$D$18</f>
        <v>0.0583483428308294</v>
      </c>
      <c r="G27" s="15" t="n">
        <f aca="false">$C$8*$D$19+($C$10+G$25*$C27)*$D$18</f>
        <v>0.0602057100097853</v>
      </c>
      <c r="H27" s="15" t="n">
        <f aca="false">$C$8*$D$19+($C$10+H$25*$C27)*$D$18</f>
        <v>0.0620630771887411</v>
      </c>
    </row>
    <row r="28" customFormat="false" ht="15" hidden="false" customHeight="true" outlineLevel="0" collapsed="false">
      <c r="B28" s="10" t="s">
        <v>237</v>
      </c>
      <c r="C28" s="15" t="n">
        <f aca="false">$C$12</f>
        <v>0.0501</v>
      </c>
      <c r="D28" s="15" t="n">
        <f aca="false">$C$8*$D$19+($C$10+D$25*$C28)*$D$18</f>
        <v>0.0559017688367006</v>
      </c>
      <c r="E28" s="15" t="n">
        <f aca="false">$C$8*$D$19+($C$10+E$25*$C28)*$D$18</f>
        <v>0.0578566868128705</v>
      </c>
      <c r="F28" s="38" t="n">
        <f aca="false">$C$8*$D$19+($C$10+F$25*$C28)*$D$18</f>
        <v>0.0598116047890405</v>
      </c>
      <c r="G28" s="15" t="n">
        <f aca="false">$C$8*$D$19+($C$10+G$25*$C28)*$D$18</f>
        <v>0.0617665227652104</v>
      </c>
      <c r="H28" s="15" t="n">
        <f aca="false">$C$8*$D$19+($C$10+H$25*$C28)*$D$18</f>
        <v>0.0637214407413803</v>
      </c>
    </row>
    <row r="29" customFormat="false" ht="15" hidden="false" customHeight="true" outlineLevel="0" collapsed="false">
      <c r="B29" s="10" t="s">
        <v>238</v>
      </c>
      <c r="C29" s="15" t="n">
        <f aca="false">$C$12+0.0025</f>
        <v>0.0526</v>
      </c>
      <c r="D29" s="15" t="n">
        <f aca="false">$C$8*$D$19+($C$10+D$25*$C29)*$D$18</f>
        <v>0.0571699292004835</v>
      </c>
      <c r="E29" s="15" t="n">
        <f aca="false">$C$8*$D$19+($C$10+E$25*$C29)*$D$18</f>
        <v>0.0592223979738675</v>
      </c>
      <c r="F29" s="15" t="n">
        <f aca="false">$C$8*$D$19+($C$10+F$25*$C29)*$D$18</f>
        <v>0.0612748667472515</v>
      </c>
      <c r="G29" s="15" t="n">
        <f aca="false">$C$8*$D$19+($C$10+G$25*$C29)*$D$18</f>
        <v>0.0633273355206355</v>
      </c>
      <c r="H29" s="15" t="n">
        <f aca="false">$C$8*$D$19+($C$10+H$25*$C29)*$D$18</f>
        <v>0.0653798042940195</v>
      </c>
    </row>
    <row r="30" customFormat="false" ht="15" hidden="false" customHeight="true" outlineLevel="0" collapsed="false">
      <c r="C30" s="15" t="n">
        <f aca="false">$C$12+0.005</f>
        <v>0.0551</v>
      </c>
      <c r="D30" s="15" t="n">
        <f aca="false">$C$8*$D$19+($C$10+D$25*$C30)*$D$18</f>
        <v>0.0584380895642664</v>
      </c>
      <c r="E30" s="15" t="n">
        <f aca="false">$C$8*$D$19+($C$10+E$25*$C30)*$D$18</f>
        <v>0.0605881091348644</v>
      </c>
      <c r="F30" s="15" t="n">
        <f aca="false">$C$8*$D$19+($C$10+F$25*$C30)*$D$18</f>
        <v>0.0627381287054625</v>
      </c>
      <c r="G30" s="15" t="n">
        <f aca="false">$C$8*$D$19+($C$10+G$25*$C30)*$D$18</f>
        <v>0.0648881482760605</v>
      </c>
      <c r="H30" s="15" t="n">
        <f aca="false">$C$8*$D$19+($C$10+H$25*$C30)*$D$18</f>
        <v>0.0670381678466586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7" width="2"/>
    <col collapsed="false" customWidth="true" hidden="false" outlineLevel="0" max="2" min="2" style="7" width="40"/>
    <col collapsed="false" customWidth="true" hidden="false" outlineLevel="0" max="9" min="3" style="7" width="12"/>
    <col collapsed="false" customWidth="true" hidden="false" outlineLevel="0" max="10" min="10" style="7" width="2"/>
    <col collapsed="false" customWidth="true" hidden="false" outlineLevel="0" max="11" min="11" style="7" width="60"/>
  </cols>
  <sheetData>
    <row r="2" customFormat="false" ht="17.25" hidden="false" customHeight="true" outlineLevel="0" collapsed="false">
      <c r="B2" s="8" t="s">
        <v>239</v>
      </c>
    </row>
    <row r="3" customFormat="false" ht="15" hidden="false" customHeight="true" outlineLevel="0" collapsed="false">
      <c r="B3" s="9" t="str">
        <f aca="false">Historicals!B2</f>
        <v>Vinci SA — Historicals &amp; Sources (all figures EUR millions unless noted)</v>
      </c>
    </row>
    <row r="4" customFormat="false" ht="15" hidden="false" customHeight="true" outlineLevel="0" collapsed="false">
      <c r="B4" s="12" t="s">
        <v>240</v>
      </c>
      <c r="D4" s="39" t="n">
        <v>46022</v>
      </c>
      <c r="F4" s="10" t="s">
        <v>241</v>
      </c>
      <c r="H4" s="30" t="n">
        <f aca="false">WACC!C21</f>
        <v>0.0598116047890405</v>
      </c>
    </row>
    <row r="5" customFormat="false" ht="15" hidden="false" customHeight="true" outlineLevel="0" collapsed="false">
      <c r="B5" s="12" t="s">
        <v>242</v>
      </c>
      <c r="D5" s="40" t="n">
        <f aca="false">EOMONTH(D4,12)</f>
        <v>46387</v>
      </c>
      <c r="F5" s="10" t="s">
        <v>243</v>
      </c>
      <c r="H5" s="32" t="n">
        <f aca="false">Historicals!C195</f>
        <v>126.9</v>
      </c>
    </row>
    <row r="6" customFormat="false" ht="15" hidden="false" customHeight="true" outlineLevel="0" collapsed="false">
      <c r="B6" s="12" t="s">
        <v>244</v>
      </c>
      <c r="D6" s="39" t="n">
        <v>46022</v>
      </c>
      <c r="F6" s="10" t="s">
        <v>245</v>
      </c>
      <c r="H6" s="39" t="n">
        <v>46207</v>
      </c>
    </row>
    <row r="7" customFormat="false" ht="15" hidden="false" customHeight="true" outlineLevel="0" collapsed="false">
      <c r="B7" s="12" t="s">
        <v>246</v>
      </c>
      <c r="D7" s="39" t="n">
        <v>46207</v>
      </c>
      <c r="F7" s="10" t="s">
        <v>247</v>
      </c>
      <c r="H7" s="41" t="n">
        <v>1</v>
      </c>
    </row>
    <row r="8" customFormat="false" ht="15" hidden="false" customHeight="true" outlineLevel="0" collapsed="false">
      <c r="B8" s="12" t="s">
        <v>248</v>
      </c>
      <c r="D8" s="17" t="n">
        <f aca="false">YEARFRAC(D7,D5)</f>
        <v>0.491666666666667</v>
      </c>
    </row>
    <row r="10" customFormat="false" ht="15" hidden="false" customHeight="true" outlineLevel="0" collapsed="false">
      <c r="B10" s="10" t="s">
        <v>249</v>
      </c>
    </row>
    <row r="11" customFormat="false" ht="15" hidden="false" customHeight="true" outlineLevel="0" collapsed="false">
      <c r="D11" s="11" t="s">
        <v>250</v>
      </c>
      <c r="E11" s="11" t="s">
        <v>251</v>
      </c>
    </row>
    <row r="12" customFormat="false" ht="15" hidden="false" customHeight="true" outlineLevel="0" collapsed="false">
      <c r="B12" s="12" t="s">
        <v>252</v>
      </c>
      <c r="D12" s="40" t="n">
        <f aca="false">D4</f>
        <v>46022</v>
      </c>
      <c r="E12" s="40" t="n">
        <f aca="false">EOMONTH(D12,12)</f>
        <v>46387</v>
      </c>
      <c r="F12" s="40" t="n">
        <f aca="false">EOMONTH(E12,12)</f>
        <v>46752</v>
      </c>
      <c r="G12" s="40" t="n">
        <f aca="false">EOMONTH(F12,12)</f>
        <v>47118</v>
      </c>
      <c r="H12" s="40" t="n">
        <f aca="false">EOMONTH(G12,12)</f>
        <v>47483</v>
      </c>
      <c r="I12" s="40" t="n">
        <f aca="false">EOMONTH(H12,12)</f>
        <v>47848</v>
      </c>
    </row>
    <row r="14" customFormat="false" ht="15" hidden="false" customHeight="true" outlineLevel="0" collapsed="false">
      <c r="B14" s="12" t="s">
        <v>30</v>
      </c>
      <c r="D14" s="33" t="n">
        <f aca="false">Historicals!C7</f>
        <v>74599</v>
      </c>
      <c r="E14" s="16" t="n">
        <f aca="false">D14*(1+E15)</f>
        <v>77582.96</v>
      </c>
      <c r="F14" s="16" t="n">
        <f aca="false">E14*(1+F15)</f>
        <v>80686.2784</v>
      </c>
      <c r="G14" s="16" t="n">
        <f aca="false">F14*(1+G15)</f>
        <v>83510.298144</v>
      </c>
      <c r="H14" s="16" t="n">
        <f aca="false">G14*(1+H15)</f>
        <v>86433.15857904</v>
      </c>
      <c r="I14" s="16" t="n">
        <f aca="false">H14*(1+I15)</f>
        <v>89026.1533364112</v>
      </c>
    </row>
    <row r="15" customFormat="false" ht="15" hidden="false" customHeight="true" outlineLevel="0" collapsed="false">
      <c r="B15" s="12" t="s">
        <v>253</v>
      </c>
      <c r="E15" s="21" t="n">
        <v>0.04</v>
      </c>
      <c r="F15" s="21" t="n">
        <v>0.04</v>
      </c>
      <c r="G15" s="21" t="n">
        <v>0.035</v>
      </c>
      <c r="H15" s="21" t="n">
        <v>0.035</v>
      </c>
      <c r="I15" s="21" t="n">
        <v>0.03</v>
      </c>
    </row>
    <row r="16" customFormat="false" ht="15" hidden="false" customHeight="true" outlineLevel="0" collapsed="false">
      <c r="B16" s="12" t="s">
        <v>205</v>
      </c>
      <c r="D16" s="16" t="n">
        <f aca="false">D18+D25</f>
        <v>13764</v>
      </c>
      <c r="E16" s="16" t="n">
        <f aca="false">E17*E14</f>
        <v>14275.26464</v>
      </c>
      <c r="F16" s="16" t="n">
        <f aca="false">F17*F14</f>
        <v>14846.2752256</v>
      </c>
      <c r="G16" s="16" t="n">
        <f aca="false">G17*G14</f>
        <v>15365.894858496</v>
      </c>
      <c r="H16" s="16" t="n">
        <f aca="false">H17*H14</f>
        <v>15990.1343371224</v>
      </c>
      <c r="I16" s="16" t="n">
        <f aca="false">I17*I14</f>
        <v>16469.8383672361</v>
      </c>
    </row>
    <row r="17" customFormat="false" ht="15" hidden="false" customHeight="true" outlineLevel="0" collapsed="false">
      <c r="B17" s="12" t="s">
        <v>254</v>
      </c>
      <c r="D17" s="15" t="n">
        <f aca="false">D16/D14</f>
        <v>0.18450649472513</v>
      </c>
      <c r="E17" s="21" t="n">
        <v>0.184</v>
      </c>
      <c r="F17" s="21" t="n">
        <v>0.184</v>
      </c>
      <c r="G17" s="21" t="n">
        <v>0.184</v>
      </c>
      <c r="H17" s="21" t="n">
        <v>0.185</v>
      </c>
      <c r="I17" s="21" t="n">
        <v>0.185</v>
      </c>
    </row>
    <row r="18" customFormat="false" ht="15" hidden="false" customHeight="true" outlineLevel="0" collapsed="false">
      <c r="B18" s="12" t="s">
        <v>255</v>
      </c>
      <c r="D18" s="33" t="n">
        <f aca="false">Historicals!C14</f>
        <v>9558</v>
      </c>
      <c r="E18" s="16" t="n">
        <f aca="false">E19*E14</f>
        <v>9930.61888</v>
      </c>
      <c r="F18" s="16" t="n">
        <f aca="false">F19*F14</f>
        <v>10408.5299136</v>
      </c>
      <c r="G18" s="16" t="n">
        <f aca="false">G19*G14</f>
        <v>10856.33875872</v>
      </c>
      <c r="H18" s="16" t="n">
        <f aca="false">H19*H14</f>
        <v>11236.3106152752</v>
      </c>
      <c r="I18" s="16" t="n">
        <f aca="false">I19*I14</f>
        <v>11573.3999337335</v>
      </c>
    </row>
    <row r="19" customFormat="false" ht="15" hidden="false" customHeight="true" outlineLevel="0" collapsed="false">
      <c r="B19" s="12" t="s">
        <v>254</v>
      </c>
      <c r="D19" s="15" t="n">
        <f aca="false">D18/D14</f>
        <v>0.128125041890642</v>
      </c>
      <c r="E19" s="21" t="n">
        <v>0.128</v>
      </c>
      <c r="F19" s="21" t="n">
        <v>0.129</v>
      </c>
      <c r="G19" s="21" t="n">
        <v>0.13</v>
      </c>
      <c r="H19" s="21" t="n">
        <v>0.13</v>
      </c>
      <c r="I19" s="21" t="n">
        <v>0.13</v>
      </c>
    </row>
    <row r="21" customFormat="false" ht="15" hidden="false" customHeight="true" outlineLevel="0" collapsed="false">
      <c r="B21" s="12" t="s">
        <v>256</v>
      </c>
      <c r="D21" s="16" t="n">
        <f aca="false">D22*D18</f>
        <v>3326.184</v>
      </c>
      <c r="E21" s="16" t="n">
        <f aca="false">E22*E18</f>
        <v>3455.85537024</v>
      </c>
      <c r="F21" s="16" t="n">
        <f aca="false">F22*F18</f>
        <v>2685.4007177088</v>
      </c>
      <c r="G21" s="16" t="n">
        <f aca="false">G22*G18</f>
        <v>2800.93539974976</v>
      </c>
      <c r="H21" s="16" t="n">
        <f aca="false">H22*H18</f>
        <v>2898.968138741</v>
      </c>
      <c r="I21" s="16" t="n">
        <f aca="false">I22*I18</f>
        <v>2985.93718290323</v>
      </c>
    </row>
    <row r="22" customFormat="false" ht="15" hidden="false" customHeight="true" outlineLevel="0" collapsed="false">
      <c r="B22" s="12" t="s">
        <v>217</v>
      </c>
      <c r="D22" s="42" t="n">
        <f aca="false">Historicals!C50</f>
        <v>0.348</v>
      </c>
      <c r="E22" s="31" t="n">
        <f aca="false">Historicals!C53</f>
        <v>0.348</v>
      </c>
      <c r="F22" s="42" t="n">
        <f aca="false">Historicals!C54</f>
        <v>0.258</v>
      </c>
      <c r="G22" s="42" t="n">
        <f aca="false">Historicals!C54</f>
        <v>0.258</v>
      </c>
      <c r="H22" s="42" t="n">
        <f aca="false">Historicals!C54</f>
        <v>0.258</v>
      </c>
      <c r="I22" s="42" t="n">
        <f aca="false">Historicals!C54</f>
        <v>0.258</v>
      </c>
    </row>
    <row r="23" customFormat="false" ht="15" hidden="false" customHeight="true" outlineLevel="0" collapsed="false">
      <c r="B23" s="12" t="s">
        <v>257</v>
      </c>
      <c r="D23" s="16" t="n">
        <f aca="false">D18-D21</f>
        <v>6231.816</v>
      </c>
      <c r="E23" s="16" t="n">
        <f aca="false">E18-E21</f>
        <v>6474.76350976</v>
      </c>
      <c r="F23" s="16" t="n">
        <f aca="false">F18-F21</f>
        <v>7723.1291958912</v>
      </c>
      <c r="G23" s="16" t="n">
        <f aca="false">G18-G21</f>
        <v>8055.40335897024</v>
      </c>
      <c r="H23" s="16" t="n">
        <f aca="false">H18-H21</f>
        <v>8337.3424765342</v>
      </c>
      <c r="I23" s="16" t="n">
        <f aca="false">I18-I21</f>
        <v>8587.46275083022</v>
      </c>
    </row>
    <row r="25" customFormat="false" ht="15" hidden="false" customHeight="true" outlineLevel="0" collapsed="false">
      <c r="B25" s="12" t="s">
        <v>258</v>
      </c>
      <c r="D25" s="33" t="n">
        <f aca="false">Historicals!C36</f>
        <v>4206</v>
      </c>
      <c r="E25" s="16" t="n">
        <f aca="false">E16-E18</f>
        <v>4344.64576</v>
      </c>
      <c r="F25" s="16" t="n">
        <f aca="false">F16-F18</f>
        <v>4437.745312</v>
      </c>
      <c r="G25" s="16" t="n">
        <f aca="false">G16-G18</f>
        <v>4509.556099776</v>
      </c>
      <c r="H25" s="16" t="n">
        <f aca="false">H16-H18</f>
        <v>4753.8237218472</v>
      </c>
      <c r="I25" s="16" t="n">
        <f aca="false">I16-I18</f>
        <v>4896.43843350262</v>
      </c>
    </row>
    <row r="26" customFormat="false" ht="15" hidden="false" customHeight="true" outlineLevel="0" collapsed="false">
      <c r="B26" s="12" t="s">
        <v>259</v>
      </c>
      <c r="D26" s="16" t="n">
        <f aca="false">C32-D32</f>
        <v>2399</v>
      </c>
      <c r="E26" s="16" t="n">
        <f aca="false">D32-E32</f>
        <v>774.560000000005</v>
      </c>
      <c r="F26" s="16" t="n">
        <f aca="false">E32-F32</f>
        <v>805.542399999999</v>
      </c>
      <c r="G26" s="16" t="n">
        <f aca="false">F32-G32</f>
        <v>733.043583999999</v>
      </c>
      <c r="H26" s="16" t="n">
        <f aca="false">G32-H32</f>
        <v>758.70010944</v>
      </c>
      <c r="I26" s="16" t="n">
        <f aca="false">H32-I32</f>
        <v>673.075382803199</v>
      </c>
    </row>
    <row r="27" customFormat="false" ht="15" hidden="false" customHeight="true" outlineLevel="0" collapsed="false">
      <c r="B27" s="12" t="s">
        <v>260</v>
      </c>
      <c r="D27" s="33" t="n">
        <f aca="false">Historicals!C149</f>
        <v>-4005</v>
      </c>
      <c r="E27" s="16" t="n">
        <f aca="false">-(E28*E14)</f>
        <v>-4267.0628</v>
      </c>
      <c r="F27" s="16" t="n">
        <f aca="false">-(F28*F14)</f>
        <v>-4437.745312</v>
      </c>
      <c r="G27" s="16" t="n">
        <f aca="false">-(G28*G14)</f>
        <v>-4509.556099776</v>
      </c>
      <c r="H27" s="16" t="n">
        <f aca="false">-(H28*H14)</f>
        <v>-4667.39056326816</v>
      </c>
      <c r="I27" s="16" t="n">
        <f aca="false">-(I28*I14)</f>
        <v>-4945.40281783764</v>
      </c>
    </row>
    <row r="28" customFormat="false" ht="15" hidden="false" customHeight="true" outlineLevel="0" collapsed="false">
      <c r="B28" s="12" t="s">
        <v>261</v>
      </c>
      <c r="D28" s="15" t="n">
        <f aca="false">-(D27/D14)</f>
        <v>0.0536870467432539</v>
      </c>
      <c r="E28" s="21" t="n">
        <v>0.055</v>
      </c>
      <c r="F28" s="21" t="n">
        <v>0.055</v>
      </c>
      <c r="G28" s="21" t="n">
        <v>0.054</v>
      </c>
      <c r="H28" s="21" t="n">
        <v>0.054</v>
      </c>
      <c r="I28" s="21" t="n">
        <f aca="false">(I25/I14)*(1+C42)</f>
        <v>0.05555</v>
      </c>
    </row>
    <row r="30" customFormat="false" ht="15" hidden="false" customHeight="true" outlineLevel="0" collapsed="false">
      <c r="B30" s="10" t="s">
        <v>262</v>
      </c>
      <c r="E30" s="14" t="n">
        <f aca="false">E23+E25+E26+E27</f>
        <v>7326.90646976001</v>
      </c>
      <c r="F30" s="14" t="n">
        <f aca="false">F23+F25+F26+F27</f>
        <v>8528.6715958912</v>
      </c>
      <c r="G30" s="14" t="n">
        <f aca="false">G23+G25+G26+G27</f>
        <v>8788.44694297024</v>
      </c>
      <c r="H30" s="14" t="n">
        <f aca="false">H23+H25+H26+H27</f>
        <v>9182.47574455324</v>
      </c>
      <c r="I30" s="14" t="n">
        <f aca="false">I23+I25+I26+I27</f>
        <v>9211.5737492984</v>
      </c>
    </row>
    <row r="32" customFormat="false" ht="15" hidden="false" customHeight="true" outlineLevel="0" collapsed="false">
      <c r="B32" s="12" t="s">
        <v>263</v>
      </c>
      <c r="C32" s="33" t="n">
        <f aca="false">Historicals!D181</f>
        <v>-16965</v>
      </c>
      <c r="D32" s="33" t="n">
        <f aca="false">Historicals!C181</f>
        <v>-19364</v>
      </c>
      <c r="E32" s="16" t="n">
        <f aca="false">E33*E14</f>
        <v>-20138.56</v>
      </c>
      <c r="F32" s="16" t="n">
        <f aca="false">F33*F14</f>
        <v>-20944.1024</v>
      </c>
      <c r="G32" s="16" t="n">
        <f aca="false">G33*G14</f>
        <v>-21677.145984</v>
      </c>
      <c r="H32" s="16" t="n">
        <f aca="false">H33*H14</f>
        <v>-22435.84609344</v>
      </c>
      <c r="I32" s="16" t="n">
        <f aca="false">I33*I14</f>
        <v>-23108.9214762432</v>
      </c>
    </row>
    <row r="33" customFormat="false" ht="15" hidden="false" customHeight="true" outlineLevel="0" collapsed="false">
      <c r="B33" s="12" t="s">
        <v>261</v>
      </c>
      <c r="D33" s="17" t="n">
        <f aca="false">D32/D14</f>
        <v>-0.259574525127683</v>
      </c>
      <c r="E33" s="17" t="n">
        <f aca="false">D33</f>
        <v>-0.259574525127683</v>
      </c>
      <c r="F33" s="17" t="n">
        <f aca="false">E33</f>
        <v>-0.259574525127683</v>
      </c>
      <c r="G33" s="17" t="n">
        <f aca="false">F33</f>
        <v>-0.259574525127683</v>
      </c>
      <c r="H33" s="17" t="n">
        <f aca="false">G33</f>
        <v>-0.259574525127683</v>
      </c>
      <c r="I33" s="17" t="n">
        <f aca="false">H33</f>
        <v>-0.259574525127683</v>
      </c>
    </row>
    <row r="35" customFormat="false" ht="15" hidden="false" customHeight="true" outlineLevel="0" collapsed="false">
      <c r="B35" s="10" t="s">
        <v>264</v>
      </c>
    </row>
    <row r="36" customFormat="false" ht="15" hidden="false" customHeight="true" outlineLevel="0" collapsed="false">
      <c r="D36" s="11" t="s">
        <v>265</v>
      </c>
      <c r="E36" s="11" t="s">
        <v>266</v>
      </c>
      <c r="F36" s="11" t="s">
        <v>267</v>
      </c>
      <c r="G36" s="11" t="s">
        <v>268</v>
      </c>
      <c r="H36" s="11" t="s">
        <v>269</v>
      </c>
      <c r="I36" s="11" t="s">
        <v>270</v>
      </c>
    </row>
    <row r="37" customFormat="false" ht="15" hidden="false" customHeight="true" outlineLevel="0" collapsed="false">
      <c r="B37" s="12" t="s">
        <v>271</v>
      </c>
      <c r="D37" s="40" t="n">
        <f aca="false">D7</f>
        <v>46207</v>
      </c>
      <c r="E37" s="40" t="n">
        <f aca="false">IF($H$7=0,E12,AVERAGE(D37,E12))</f>
        <v>46297</v>
      </c>
      <c r="F37" s="40" t="n">
        <f aca="false">IF($H$7=0,F12,AVERAGE(E37,F12))</f>
        <v>46524.5</v>
      </c>
      <c r="G37" s="40" t="n">
        <f aca="false">IF($H$7=0,G12,AVERAGE(F37,G12))</f>
        <v>46821.25</v>
      </c>
      <c r="H37" s="40" t="n">
        <f aca="false">IF($H$7=0,H12,AVERAGE(G37,H12))</f>
        <v>47152.125</v>
      </c>
      <c r="I37" s="40" t="n">
        <f aca="false">IF($H$7=0,I12,AVERAGE(H37,I12))</f>
        <v>47500.0625</v>
      </c>
    </row>
    <row r="38" customFormat="false" ht="15" hidden="false" customHeight="true" outlineLevel="0" collapsed="false">
      <c r="B38" s="12" t="s">
        <v>272</v>
      </c>
      <c r="C38" s="17" t="n">
        <f aca="false">D8</f>
        <v>0.491666666666667</v>
      </c>
      <c r="E38" s="16" t="n">
        <f aca="false">$C$38*E30</f>
        <v>3602.39568096534</v>
      </c>
      <c r="F38" s="16" t="n">
        <f aca="false">F30</f>
        <v>8528.6715958912</v>
      </c>
      <c r="G38" s="16" t="n">
        <f aca="false">G30</f>
        <v>8788.44694297024</v>
      </c>
      <c r="H38" s="16" t="n">
        <f aca="false">H30</f>
        <v>9182.47574455324</v>
      </c>
      <c r="I38" s="16" t="n">
        <f aca="false">I30</f>
        <v>9211.5737492984</v>
      </c>
    </row>
    <row r="39" customFormat="false" ht="15" hidden="false" customHeight="true" outlineLevel="0" collapsed="false">
      <c r="B39" s="12" t="s">
        <v>273</v>
      </c>
      <c r="E39" s="16" t="n">
        <f aca="false">E38/(1+$H$4)^((E37-$D$37)/365)</f>
        <v>3551.16331138305</v>
      </c>
      <c r="F39" s="16" t="n">
        <f aca="false">F38/(1+$H$4)^((F37-$D$37)/365)</f>
        <v>8108.41380414289</v>
      </c>
      <c r="G39" s="16" t="n">
        <f aca="false">G38/(1+$H$4)^((G37-$D$37)/365)</f>
        <v>7969.94625623563</v>
      </c>
      <c r="H39" s="16" t="n">
        <f aca="false">H38/(1+$H$4)^((H37-$D$37)/365)</f>
        <v>7900.10902381067</v>
      </c>
      <c r="I39" s="16" t="n">
        <f aca="false">I38/(1+$H$4)^((I37-$D$37)/365)</f>
        <v>7498.2136645941</v>
      </c>
    </row>
    <row r="41" customFormat="false" ht="15" hidden="false" customHeight="true" outlineLevel="0" collapsed="false">
      <c r="B41" s="10" t="s">
        <v>274</v>
      </c>
      <c r="E41" s="10" t="s">
        <v>275</v>
      </c>
    </row>
    <row r="42" customFormat="false" ht="15" hidden="false" customHeight="true" outlineLevel="0" collapsed="false">
      <c r="B42" s="12" t="s">
        <v>276</v>
      </c>
      <c r="C42" s="24" t="n">
        <v>0.01</v>
      </c>
      <c r="E42" s="12" t="s">
        <v>277</v>
      </c>
      <c r="I42" s="16" t="n">
        <f aca="false">I16</f>
        <v>16469.8383672361</v>
      </c>
    </row>
    <row r="43" customFormat="false" ht="15" hidden="false" customHeight="true" outlineLevel="0" collapsed="false">
      <c r="B43" s="12" t="str">
        <f aca="false">YEAR(I12)&amp;" FCF x (1+g)"</f>
        <v>2030 FCF x (1+g)</v>
      </c>
      <c r="C43" s="16" t="n">
        <f aca="false">I30*(1+C42)</f>
        <v>9303.68948679138</v>
      </c>
      <c r="E43" s="12" t="s">
        <v>278</v>
      </c>
      <c r="I43" s="43" t="n">
        <v>10.5</v>
      </c>
    </row>
    <row r="44" customFormat="false" ht="15" hidden="false" customHeight="true" outlineLevel="0" collapsed="false">
      <c r="B44" s="12" t="str">
        <f aca="false">"Terminal value in "&amp;YEAR(I12)</f>
        <v>Terminal value in 2030</v>
      </c>
      <c r="C44" s="16" t="n">
        <f aca="false">C43/(H4-C42)</f>
        <v>186777.549653216</v>
      </c>
      <c r="E44" s="12" t="str">
        <f aca="false">"Terminal value in "&amp;YEAR(I12)</f>
        <v>Terminal value in 2030</v>
      </c>
      <c r="I44" s="16" t="n">
        <f aca="false">I42*I43</f>
        <v>172933.302855979</v>
      </c>
    </row>
    <row r="45" customFormat="false" ht="15" hidden="false" customHeight="true" outlineLevel="0" collapsed="false">
      <c r="B45" s="12" t="s">
        <v>279</v>
      </c>
      <c r="C45" s="16" t="n">
        <f aca="false">C44/(1+H4)^((I37-D37)/365)</f>
        <v>152036.776034694</v>
      </c>
      <c r="E45" s="12" t="s">
        <v>279</v>
      </c>
      <c r="I45" s="16" t="n">
        <f aca="false">I44/(1+H4)^((I37-D37)/365)</f>
        <v>140767.570214248</v>
      </c>
    </row>
    <row r="46" customFormat="false" ht="15" hidden="false" customHeight="true" outlineLevel="0" collapsed="false">
      <c r="B46" s="12" t="s">
        <v>280</v>
      </c>
      <c r="C46" s="16" t="n">
        <f aca="false">SUM(E39:I39)</f>
        <v>35027.8460601664</v>
      </c>
      <c r="E46" s="12" t="s">
        <v>280</v>
      </c>
      <c r="I46" s="16" t="n">
        <f aca="false">C46</f>
        <v>35027.8460601664</v>
      </c>
    </row>
    <row r="47" customFormat="false" ht="15" hidden="false" customHeight="true" outlineLevel="0" collapsed="false">
      <c r="B47" s="10" t="s">
        <v>281</v>
      </c>
      <c r="C47" s="14" t="n">
        <f aca="false">SUM(C45:C46)</f>
        <v>187064.62209486</v>
      </c>
      <c r="E47" s="10" t="s">
        <v>282</v>
      </c>
      <c r="I47" s="14" t="n">
        <f aca="false">SUM(I45:I46)</f>
        <v>175795.416274415</v>
      </c>
    </row>
    <row r="49" customFormat="false" ht="15" hidden="false" customHeight="true" outlineLevel="0" collapsed="false">
      <c r="B49" s="12" t="s">
        <v>283</v>
      </c>
      <c r="C49" s="17" t="n">
        <f aca="false">C45/$C$47</f>
        <v>0.812750023666133</v>
      </c>
      <c r="E49" s="12" t="s">
        <v>283</v>
      </c>
      <c r="I49" s="17" t="n">
        <f aca="false">I45/$I$47</f>
        <v>0.800746533655415</v>
      </c>
    </row>
    <row r="50" customFormat="false" ht="15" hidden="false" customHeight="true" outlineLevel="0" collapsed="false">
      <c r="B50" s="12" t="s">
        <v>284</v>
      </c>
      <c r="C50" s="17" t="n">
        <f aca="false">C46/$C$47</f>
        <v>0.187249976333867</v>
      </c>
      <c r="E50" s="12" t="s">
        <v>284</v>
      </c>
      <c r="I50" s="17" t="n">
        <f aca="false">I46/$I$47</f>
        <v>0.199253466344585</v>
      </c>
    </row>
    <row r="51" customFormat="false" ht="15" hidden="false" customHeight="true" outlineLevel="0" collapsed="false">
      <c r="B51" s="10" t="s">
        <v>285</v>
      </c>
      <c r="C51" s="44" t="n">
        <f aca="false">C44/I16</f>
        <v>11.3405818253067</v>
      </c>
      <c r="E51" s="10" t="s">
        <v>286</v>
      </c>
      <c r="I51" s="45" t="n">
        <f aca="false">(H4-I38/I44)/(1+I38/I44)</f>
        <v>0.00621397997616835</v>
      </c>
    </row>
    <row r="53" customFormat="false" ht="15" hidden="false" customHeight="true" outlineLevel="0" collapsed="false">
      <c r="B53" s="10" t="s">
        <v>287</v>
      </c>
      <c r="E53" s="10" t="s">
        <v>288</v>
      </c>
    </row>
    <row r="54" customFormat="false" ht="15" hidden="false" customHeight="true" outlineLevel="0" collapsed="false">
      <c r="B54" s="12" t="s">
        <v>289</v>
      </c>
      <c r="C54" s="22" t="s">
        <v>290</v>
      </c>
    </row>
    <row r="55" customFormat="false" ht="15" hidden="false" customHeight="true" outlineLevel="0" collapsed="false">
      <c r="B55" s="12" t="s">
        <v>291</v>
      </c>
      <c r="C55" s="39" t="n">
        <v>46207</v>
      </c>
      <c r="G55" s="10" t="s">
        <v>289</v>
      </c>
      <c r="H55" s="10" t="s">
        <v>292</v>
      </c>
      <c r="I55" s="10" t="s">
        <v>293</v>
      </c>
    </row>
    <row r="56" customFormat="false" ht="15" hidden="false" customHeight="true" outlineLevel="0" collapsed="false">
      <c r="B56" s="12" t="s">
        <v>294</v>
      </c>
      <c r="E56" s="12" t="s">
        <v>295</v>
      </c>
      <c r="G56" s="12" t="s">
        <v>296</v>
      </c>
      <c r="H56" s="46" t="n">
        <v>46207</v>
      </c>
      <c r="I56" s="47" t="n">
        <f aca="false">Historicals!C198</f>
        <v>530.01</v>
      </c>
    </row>
    <row r="57" customFormat="false" ht="15" hidden="false" customHeight="true" outlineLevel="0" collapsed="false">
      <c r="B57" s="12" t="s">
        <v>297</v>
      </c>
      <c r="C57" s="33" t="n">
        <f aca="false">-Historicals!C186</f>
        <v>36712</v>
      </c>
      <c r="E57" s="10" t="s">
        <v>298</v>
      </c>
      <c r="I57" s="48" t="n">
        <f aca="false">SUM(I56:I56)</f>
        <v>530.01</v>
      </c>
    </row>
    <row r="58" customFormat="false" ht="15" hidden="false" customHeight="true" outlineLevel="0" collapsed="false">
      <c r="B58" s="12" t="s">
        <v>299</v>
      </c>
      <c r="C58" s="13" t="n">
        <v>0</v>
      </c>
    </row>
    <row r="59" customFormat="false" ht="15" hidden="false" customHeight="true" outlineLevel="0" collapsed="false">
      <c r="B59" s="12" t="s">
        <v>300</v>
      </c>
      <c r="C59" s="13" t="n">
        <v>0</v>
      </c>
    </row>
    <row r="60" customFormat="false" ht="15" hidden="false" customHeight="true" outlineLevel="0" collapsed="false">
      <c r="B60" s="12" t="s">
        <v>301</v>
      </c>
      <c r="C60" s="13" t="n">
        <v>0</v>
      </c>
    </row>
    <row r="61" customFormat="false" ht="15" hidden="false" customHeight="true" outlineLevel="0" collapsed="false">
      <c r="B61" s="12" t="s">
        <v>302</v>
      </c>
      <c r="C61" s="33" t="n">
        <f aca="false">-Historicals!C189</f>
        <v>869</v>
      </c>
    </row>
    <row r="62" customFormat="false" ht="15" hidden="false" customHeight="true" outlineLevel="0" collapsed="false">
      <c r="B62" s="12" t="s">
        <v>303</v>
      </c>
      <c r="C62" s="33" t="n">
        <f aca="false">Historicals!C188</f>
        <v>18506</v>
      </c>
    </row>
    <row r="63" customFormat="false" ht="15" hidden="false" customHeight="true" outlineLevel="0" collapsed="false">
      <c r="B63" s="12" t="s">
        <v>304</v>
      </c>
      <c r="C63" s="13" t="n">
        <v>0</v>
      </c>
    </row>
    <row r="65" customFormat="false" ht="15" hidden="false" customHeight="true" outlineLevel="0" collapsed="false">
      <c r="B65" s="10" t="s">
        <v>287</v>
      </c>
      <c r="C65" s="14" t="n">
        <f aca="false">C57+C58+C59+C60+C61-C62-C63</f>
        <v>19075</v>
      </c>
    </row>
    <row r="67" customFormat="false" ht="15" hidden="false" customHeight="true" outlineLevel="0" collapsed="false">
      <c r="B67" s="10" t="s">
        <v>305</v>
      </c>
    </row>
    <row r="68" customFormat="false" ht="15" hidden="false" customHeight="true" outlineLevel="0" collapsed="false">
      <c r="C68" s="11" t="s">
        <v>306</v>
      </c>
      <c r="D68" s="11" t="s">
        <v>205</v>
      </c>
    </row>
    <row r="69" customFormat="false" ht="15" hidden="false" customHeight="true" outlineLevel="0" collapsed="false">
      <c r="B69" s="12" t="s">
        <v>307</v>
      </c>
      <c r="C69" s="16" t="n">
        <f aca="false">C47</f>
        <v>187064.62209486</v>
      </c>
      <c r="D69" s="16" t="n">
        <f aca="false">I47</f>
        <v>175795.416274415</v>
      </c>
    </row>
    <row r="70" customFormat="false" ht="15" hidden="false" customHeight="true" outlineLevel="0" collapsed="false">
      <c r="B70" s="12" t="s">
        <v>287</v>
      </c>
      <c r="C70" s="16" t="n">
        <f aca="false">C65</f>
        <v>19075</v>
      </c>
      <c r="D70" s="16" t="n">
        <f aca="false">C70</f>
        <v>19075</v>
      </c>
    </row>
    <row r="71" customFormat="false" ht="15" hidden="false" customHeight="true" outlineLevel="0" collapsed="false">
      <c r="B71" s="10" t="s">
        <v>308</v>
      </c>
      <c r="C71" s="14" t="n">
        <f aca="false">C69-C70</f>
        <v>167989.62209486</v>
      </c>
      <c r="D71" s="14" t="n">
        <f aca="false">D69-D70</f>
        <v>156720.416274415</v>
      </c>
    </row>
    <row r="72" customFormat="false" ht="15" hidden="false" customHeight="true" outlineLevel="0" collapsed="false">
      <c r="B72" s="12" t="s">
        <v>288</v>
      </c>
      <c r="C72" s="20" t="n">
        <f aca="false">I57</f>
        <v>530.01</v>
      </c>
      <c r="D72" s="20" t="n">
        <f aca="false">C72</f>
        <v>530.01</v>
      </c>
    </row>
    <row r="73" customFormat="false" ht="15" hidden="false" customHeight="true" outlineLevel="0" collapsed="false">
      <c r="B73" s="10" t="s">
        <v>309</v>
      </c>
      <c r="C73" s="49" t="n">
        <f aca="false">C71/C72</f>
        <v>316.955570828589</v>
      </c>
      <c r="D73" s="49" t="n">
        <f aca="false">D71/D72</f>
        <v>295.693319511735</v>
      </c>
    </row>
    <row r="74" customFormat="false" ht="15" hidden="false" customHeight="true" outlineLevel="0" collapsed="false">
      <c r="B74" s="50" t="s">
        <v>310</v>
      </c>
      <c r="C74" s="51" t="n">
        <f aca="false">C73/$H$5-1</f>
        <v>1.49767983316461</v>
      </c>
      <c r="D74" s="51" t="n">
        <f aca="false">D73/$H$5-1</f>
        <v>1.33012860135331</v>
      </c>
    </row>
    <row r="75" customFormat="false" ht="15" hidden="false" customHeight="true" outlineLevel="0" collapsed="false">
      <c r="B75" s="10" t="s">
        <v>311</v>
      </c>
      <c r="C75" s="11" t="s">
        <v>306</v>
      </c>
      <c r="D75" s="11" t="s">
        <v>205</v>
      </c>
    </row>
    <row r="76" customFormat="false" ht="15" hidden="false" customHeight="true" outlineLevel="0" collapsed="false">
      <c r="B76" s="12" t="s">
        <v>312</v>
      </c>
      <c r="C76" s="52" t="n">
        <f aca="false">C69/$E$14</f>
        <v>2.41115603342358</v>
      </c>
      <c r="D76" s="52" t="n">
        <f aca="false">D69/$E$14</f>
        <v>2.26590241303522</v>
      </c>
    </row>
    <row r="77" customFormat="false" ht="15" hidden="false" customHeight="true" outlineLevel="0" collapsed="false">
      <c r="B77" s="12" t="s">
        <v>313</v>
      </c>
      <c r="C77" s="52" t="n">
        <f aca="false">C69/$E$16</f>
        <v>13.1041088773021</v>
      </c>
      <c r="D77" s="52" t="n">
        <f aca="false">D69/$E$16</f>
        <v>12.3146870273653</v>
      </c>
    </row>
    <row r="78" customFormat="false" ht="15" hidden="false" customHeight="true" outlineLevel="0" collapsed="false">
      <c r="B78" s="12" t="s">
        <v>314</v>
      </c>
      <c r="C78" s="52" t="n">
        <f aca="false">C69/$E$18</f>
        <v>18.8371565111217</v>
      </c>
      <c r="D78" s="52" t="n">
        <f aca="false">D69/$E$18</f>
        <v>17.7023626018376</v>
      </c>
    </row>
    <row r="80" customFormat="false" ht="15" hidden="false" customHeight="true" outlineLevel="0" collapsed="false">
      <c r="B80" s="10" t="s">
        <v>315</v>
      </c>
    </row>
    <row r="82" customFormat="false" ht="15" hidden="false" customHeight="true" outlineLevel="0" collapsed="false">
      <c r="D82" s="11" t="s">
        <v>309</v>
      </c>
    </row>
    <row r="83" customFormat="false" ht="15" hidden="false" customHeight="true" outlineLevel="0" collapsed="false">
      <c r="E83" s="10" t="s">
        <v>316</v>
      </c>
    </row>
    <row r="84" customFormat="false" ht="15" hidden="false" customHeight="true" outlineLevel="0" collapsed="false">
      <c r="D84" s="53" t="n">
        <f aca="false">C73</f>
        <v>316.955570828589</v>
      </c>
      <c r="E84" s="54" t="n">
        <f aca="false">$C$42-0.01</f>
        <v>0</v>
      </c>
      <c r="F84" s="54" t="n">
        <f aca="false">$C$42-0.005</f>
        <v>0.005</v>
      </c>
      <c r="G84" s="54" t="n">
        <f aca="false">$C$42</f>
        <v>0.01</v>
      </c>
      <c r="H84" s="54" t="n">
        <f aca="false">$C$42+0.005</f>
        <v>0.015</v>
      </c>
      <c r="I84" s="54" t="n">
        <f aca="false">$C$42+0.01</f>
        <v>0.02</v>
      </c>
    </row>
    <row r="85" customFormat="false" ht="15" hidden="false" customHeight="true" outlineLevel="0" collapsed="false">
      <c r="D85" s="15" t="n">
        <f aca="false">$H$4+0.01</f>
        <v>0.0698116047890405</v>
      </c>
      <c r="E85" s="53" t="n">
        <f aca="false">((($I$30*(1+E$84))/($D85-E$84))/(1+$D85)^(($I$37-$D$37)/365)+$C$46-$C$65)/$C$72</f>
        <v>226.117617063935</v>
      </c>
      <c r="F85" s="53" t="n">
        <f aca="false">((($I$30*(1+F$84))/($D85-F$84))/(1+$D85)^(($I$37-$D$37)/365)+$C$46-$C$65)/$C$72</f>
        <v>242.295494501554</v>
      </c>
      <c r="G85" s="53" t="n">
        <f aca="false">((($I$30*(1+G$84))/($D85-G$84))/(1+$D85)^(($I$37-$D$37)/365)+$C$46-$C$65)/$C$72</f>
        <v>261.178177719702</v>
      </c>
      <c r="H85" s="53" t="n">
        <f aca="false">((($I$30*(1+H$84))/($D85-H$84))/(1+$D85)^(($I$37-$D$37)/365)+$C$46-$C$65)/$C$72</f>
        <v>283.505876512714</v>
      </c>
      <c r="I85" s="53" t="n">
        <f aca="false">((($I$30*(1+I$84))/($D85-I$84))/(1+$D85)^(($I$37-$D$37)/365)+$C$46-$C$65)/$C$72</f>
        <v>310.316004427929</v>
      </c>
    </row>
    <row r="86" customFormat="false" ht="15" hidden="false" customHeight="true" outlineLevel="0" collapsed="false">
      <c r="D86" s="15" t="n">
        <f aca="false">$H$4+0.005</f>
        <v>0.0648116047890405</v>
      </c>
      <c r="E86" s="53" t="n">
        <f aca="false">((($I$30*(1+E$84))/($D86-E$84))/(1+$D86)^(($I$37-$D$37)/365)+$C$46-$C$65)/$C$72</f>
        <v>244.773142854349</v>
      </c>
      <c r="F86" s="53" t="n">
        <f aca="false">((($I$30*(1+F$84))/($D86-F$84))/(1+$D86)^(($I$37-$D$37)/365)+$C$46-$C$65)/$C$72</f>
        <v>263.882090737179</v>
      </c>
      <c r="G86" s="53" t="n">
        <f aca="false">((($I$30*(1+G$84))/($D86-G$84))/(1+$D86)^(($I$37-$D$37)/365)+$C$46-$C$65)/$C$72</f>
        <v>286.477334625458</v>
      </c>
      <c r="H86" s="53" t="n">
        <f aca="false">((($I$30*(1+H$84))/($D86-H$84))/(1+$D86)^(($I$37-$D$37)/365)+$C$46-$C$65)/$C$72</f>
        <v>313.6087190344</v>
      </c>
      <c r="I86" s="53" t="n">
        <f aca="false">((($I$30*(1+I$84))/($D86-I$84))/(1+$D86)^(($I$37-$D$37)/365)+$C$46-$C$65)/$C$72</f>
        <v>346.79464769291</v>
      </c>
    </row>
    <row r="87" customFormat="false" ht="15" hidden="false" customHeight="true" outlineLevel="0" collapsed="false">
      <c r="C87" s="10" t="s">
        <v>317</v>
      </c>
      <c r="D87" s="15" t="n">
        <f aca="false">$H$4</f>
        <v>0.0598116047890405</v>
      </c>
      <c r="E87" s="53" t="n">
        <f aca="false">((($I$30*(1+E$84))/($D87-E$84))/(1+$D87)^(($I$37-$D$37)/365)+$C$46-$C$65)/$C$72</f>
        <v>266.63026418068</v>
      </c>
      <c r="F87" s="53" t="n">
        <f aca="false">((($I$30*(1+F$84))/($D87-F$84))/(1+$D87)^(($I$37-$D$37)/365)+$C$46-$C$65)/$C$72</f>
        <v>289.497541058278</v>
      </c>
      <c r="G87" s="55" t="n">
        <f aca="false">((($I$30*(1+G$84))/($D87-G$84))/(1+$D87)^(($I$37-$D$37)/365)+$C$46-$C$65)/$C$72</f>
        <v>316.955570828589</v>
      </c>
      <c r="H87" s="53" t="n">
        <f aca="false">((($I$30*(1+H$84))/($D87-H$84))/(1+$D87)^(($I$37-$D$37)/365)+$C$46-$C$65)/$C$72</f>
        <v>350.541037877608</v>
      </c>
      <c r="I87" s="53" t="n">
        <f aca="false">((($I$30*(1+I$84))/($D87-I$84))/(1+$D87)^(($I$37-$D$37)/365)+$C$46-$C$65)/$C$72</f>
        <v>392.562604708836</v>
      </c>
    </row>
    <row r="88" customFormat="false" ht="15" hidden="false" customHeight="true" outlineLevel="0" collapsed="false">
      <c r="D88" s="15" t="n">
        <f aca="false">$H$4-0.005</f>
        <v>0.0548116047890405</v>
      </c>
      <c r="E88" s="53" t="n">
        <f aca="false">((($I$30*(1+E$84))/($D88-E$84))/(1+$D88)^(($I$37-$D$37)/365)+$C$46-$C$65)/$C$72</f>
        <v>292.567525542799</v>
      </c>
      <c r="F88" s="53" t="n">
        <f aca="false">((($I$30*(1+F$84))/($D88-F$84))/(1+$D88)^(($I$37-$D$37)/365)+$C$46-$C$65)/$C$72</f>
        <v>320.357706004191</v>
      </c>
      <c r="G88" s="53" t="n">
        <f aca="false">((($I$30*(1+G$84))/($D88-G$84))/(1+$D88)^(($I$37-$D$37)/365)+$C$46-$C$65)/$C$72</f>
        <v>354.349445323432</v>
      </c>
      <c r="H88" s="53" t="n">
        <f aca="false">((($I$30*(1+H$84))/($D88-H$84))/(1+$D88)^(($I$37-$D$37)/365)+$C$46-$C$65)/$C$72</f>
        <v>396.879333129618</v>
      </c>
      <c r="I88" s="53" t="n">
        <f aca="false">((($I$30*(1+I$84))/($D88-I$84))/(1+$D88)^(($I$37-$D$37)/365)+$C$46-$C$65)/$C$72</f>
        <v>451.626378996721</v>
      </c>
    </row>
    <row r="89" customFormat="false" ht="15" hidden="false" customHeight="true" outlineLevel="0" collapsed="false">
      <c r="D89" s="15" t="n">
        <f aca="false">$H$4-0.01</f>
        <v>0.0498116047890405</v>
      </c>
      <c r="E89" s="53" t="n">
        <f aca="false">((($I$30*(1+E$84))/($D89-E$84))/(1+$D89)^(($I$37-$D$37)/365)+$C$46-$C$65)/$C$72</f>
        <v>323.816300489859</v>
      </c>
      <c r="F89" s="53" t="n">
        <f aca="false">((($I$30*(1+F$84))/($D89-F$84))/(1+$D89)^(($I$37-$D$37)/365)+$C$46-$C$65)/$C$72</f>
        <v>358.221192184627</v>
      </c>
      <c r="G89" s="53" t="n">
        <f aca="false">((($I$30*(1+G$84))/($D89-G$84))/(1+$D89)^(($I$37-$D$37)/365)+$C$46-$C$65)/$C$72</f>
        <v>401.268009236858</v>
      </c>
      <c r="H89" s="53" t="n">
        <f aca="false">((($I$30*(1+H$84))/($D89-H$84))/(1+$D89)^(($I$37-$D$37)/365)+$C$46-$C$65)/$C$72</f>
        <v>456.680477718574</v>
      </c>
      <c r="I89" s="53" t="n">
        <f aca="false">((($I$30*(1+I$84))/($D89-I$84))/(1+$D89)^(($I$37-$D$37)/365)+$C$46-$C$65)/$C$72</f>
        <v>530.680495872253</v>
      </c>
    </row>
    <row r="91" customFormat="false" ht="15" hidden="false" customHeight="true" outlineLevel="0" collapsed="false">
      <c r="D91" s="11" t="s">
        <v>309</v>
      </c>
    </row>
    <row r="92" customFormat="false" ht="15" hidden="false" customHeight="true" outlineLevel="0" collapsed="false">
      <c r="E92" s="10" t="s">
        <v>318</v>
      </c>
    </row>
    <row r="93" customFormat="false" ht="15" hidden="false" customHeight="true" outlineLevel="0" collapsed="false">
      <c r="D93" s="53" t="n">
        <f aca="false">D73</f>
        <v>295.693319511735</v>
      </c>
      <c r="E93" s="56" t="n">
        <f aca="false">$I$43-1</f>
        <v>9.5</v>
      </c>
      <c r="F93" s="56" t="n">
        <f aca="false">$I$43-0.5</f>
        <v>10</v>
      </c>
      <c r="G93" s="56" t="n">
        <f aca="false">$I$43</f>
        <v>10.5</v>
      </c>
      <c r="H93" s="56" t="n">
        <f aca="false">$I$43+0.5</f>
        <v>11</v>
      </c>
      <c r="I93" s="56" t="n">
        <f aca="false">$I$43+1</f>
        <v>11.5</v>
      </c>
    </row>
    <row r="94" customFormat="false" ht="15" hidden="false" customHeight="true" outlineLevel="0" collapsed="false">
      <c r="D94" s="15" t="n">
        <f aca="false">$H$4+0.01</f>
        <v>0.0698116047890405</v>
      </c>
      <c r="E94" s="53" t="n">
        <f aca="false">((($I$42*E$93))/(1+$D94)^(($I$37-$D$37)/365)+$C$46-$C$65)/$C$72</f>
        <v>262.535325930315</v>
      </c>
      <c r="F94" s="53" t="n">
        <f aca="false">((($I$42*F$93))/(1+$D94)^(($I$37-$D$37)/365)+$C$46-$C$65)/$C$72</f>
        <v>274.76880931406</v>
      </c>
      <c r="G94" s="53" t="n">
        <f aca="false">((($I$42*G$93))/(1+$D94)^(($I$37-$D$37)/365)+$C$46-$C$65)/$C$72</f>
        <v>287.002292697806</v>
      </c>
      <c r="H94" s="53" t="n">
        <f aca="false">((($I$42*H$93))/(1+$D94)^(($I$37-$D$37)/365)+$C$46-$C$65)/$C$72</f>
        <v>299.235776081551</v>
      </c>
      <c r="I94" s="53" t="n">
        <f aca="false">((($I$42*I$93))/(1+$D94)^(($I$37-$D$37)/365)+$C$46-$C$65)/$C$72</f>
        <v>311.469259465297</v>
      </c>
    </row>
    <row r="95" customFormat="false" ht="15" hidden="false" customHeight="true" outlineLevel="0" collapsed="false">
      <c r="D95" s="15" t="n">
        <f aca="false">$H$4+0.005</f>
        <v>0.0648116047890405</v>
      </c>
      <c r="E95" s="53" t="n">
        <f aca="false">((($I$42*E$93))/(1+$D95)^(($I$37-$D$37)/365)+$C$46-$C$65)/$C$72</f>
        <v>266.425049512035</v>
      </c>
      <c r="F95" s="53" t="n">
        <f aca="false">((($I$42*F$93))/(1+$D95)^(($I$37-$D$37)/365)+$C$46-$C$65)/$C$72</f>
        <v>278.863255189555</v>
      </c>
      <c r="G95" s="53" t="n">
        <f aca="false">((($I$42*G$93))/(1+$D95)^(($I$37-$D$37)/365)+$C$46-$C$65)/$C$72</f>
        <v>291.301460867075</v>
      </c>
      <c r="H95" s="53" t="n">
        <f aca="false">((($I$42*H$93))/(1+$D95)^(($I$37-$D$37)/365)+$C$46-$C$65)/$C$72</f>
        <v>303.739666544596</v>
      </c>
      <c r="I95" s="53" t="n">
        <f aca="false">((($I$42*I$93))/(1+$D95)^(($I$37-$D$37)/365)+$C$46-$C$65)/$C$72</f>
        <v>316.177872222116</v>
      </c>
    </row>
    <row r="96" customFormat="false" ht="15" hidden="false" customHeight="true" outlineLevel="0" collapsed="false">
      <c r="C96" s="10" t="s">
        <v>317</v>
      </c>
      <c r="D96" s="15" t="n">
        <f aca="false">$H$4</f>
        <v>0.0598116047890405</v>
      </c>
      <c r="E96" s="53" t="n">
        <f aca="false">((($I$42*E$93))/(1+$D96)^(($I$37-$D$37)/365)+$C$46-$C$65)/$C$72</f>
        <v>270.398635904822</v>
      </c>
      <c r="F96" s="53" t="n">
        <f aca="false">((($I$42*F$93))/(1+$D96)^(($I$37-$D$37)/365)+$C$46-$C$65)/$C$72</f>
        <v>283.045977708279</v>
      </c>
      <c r="G96" s="55" t="n">
        <f aca="false">((($I$42*G$93))/(1+$D96)^(($I$37-$D$37)/365)+$C$46-$C$65)/$C$72</f>
        <v>295.693319511735</v>
      </c>
      <c r="H96" s="53" t="n">
        <f aca="false">((($I$42*H$93))/(1+$D96)^(($I$37-$D$37)/365)+$C$46-$C$65)/$C$72</f>
        <v>308.340661315192</v>
      </c>
      <c r="I96" s="53" t="n">
        <f aca="false">((($I$42*I$93))/(1+$D96)^(($I$37-$D$37)/365)+$C$46-$C$65)/$C$72</f>
        <v>320.988003118648</v>
      </c>
    </row>
    <row r="97" customFormat="false" ht="15" hidden="false" customHeight="true" outlineLevel="0" collapsed="false">
      <c r="D97" s="15" t="n">
        <f aca="false">$H$4-0.005</f>
        <v>0.0548116047890405</v>
      </c>
      <c r="E97" s="53" t="n">
        <f aca="false">((($I$42*E$93))/(1+$D97)^(($I$37-$D$37)/365)+$C$46-$C$65)/$C$72</f>
        <v>274.458301735282</v>
      </c>
      <c r="F97" s="53" t="n">
        <f aca="false">((($I$42*F$93))/(1+$D97)^(($I$37-$D$37)/365)+$C$46-$C$65)/$C$72</f>
        <v>287.319310161394</v>
      </c>
      <c r="G97" s="53" t="n">
        <f aca="false">((($I$42*G$93))/(1+$D97)^(($I$37-$D$37)/365)+$C$46-$C$65)/$C$72</f>
        <v>300.180318587506</v>
      </c>
      <c r="H97" s="53" t="n">
        <f aca="false">((($I$42*H$93))/(1+$D97)^(($I$37-$D$37)/365)+$C$46-$C$65)/$C$72</f>
        <v>313.041327013618</v>
      </c>
      <c r="I97" s="53" t="n">
        <f aca="false">((($I$42*I$93))/(1+$D97)^(($I$37-$D$37)/365)+$C$46-$C$65)/$C$72</f>
        <v>325.902335439731</v>
      </c>
    </row>
    <row r="98" customFormat="false" ht="15" hidden="false" customHeight="true" outlineLevel="0" collapsed="false">
      <c r="D98" s="15" t="n">
        <f aca="false">$H$4-0.01</f>
        <v>0.0498116047890405</v>
      </c>
      <c r="E98" s="53" t="n">
        <f aca="false">((($I$42*E$93))/(1+$D98)^(($I$37-$D$37)/365)+$C$46-$C$65)/$C$72</f>
        <v>278.606333120601</v>
      </c>
      <c r="F98" s="53" t="n">
        <f aca="false">((($I$42*F$93))/(1+$D98)^(($I$37-$D$37)/365)+$C$46-$C$65)/$C$72</f>
        <v>291.685658988046</v>
      </c>
      <c r="G98" s="53" t="n">
        <f aca="false">((($I$42*G$93))/(1+$D98)^(($I$37-$D$37)/365)+$C$46-$C$65)/$C$72</f>
        <v>304.76498485549</v>
      </c>
      <c r="H98" s="53" t="n">
        <f aca="false">((($I$42*H$93))/(1+$D98)^(($I$37-$D$37)/365)+$C$46-$C$65)/$C$72</f>
        <v>317.844310722935</v>
      </c>
      <c r="I98" s="53" t="n">
        <f aca="false">((($I$42*I$93))/(1+$D98)^(($I$37-$D$37)/365)+$C$46-$C$65)/$C$72</f>
        <v>330.92363659038</v>
      </c>
    </row>
    <row r="100" customFormat="false" ht="15" hidden="false" customHeight="true" outlineLevel="0" collapsed="false">
      <c r="B100" s="10" t="s">
        <v>319</v>
      </c>
      <c r="G100" s="10" t="s">
        <v>320</v>
      </c>
    </row>
    <row r="101" customFormat="false" ht="15" hidden="false" customHeight="true" outlineLevel="0" collapsed="false">
      <c r="C101" s="11" t="s">
        <v>321</v>
      </c>
      <c r="D101" s="11" t="s">
        <v>322</v>
      </c>
      <c r="E101" s="11" t="s">
        <v>323</v>
      </c>
    </row>
    <row r="102" customFormat="false" ht="15" hidden="false" customHeight="true" outlineLevel="0" collapsed="false">
      <c r="B102" s="12" t="str">
        <f aca="false">"DCF Value at "&amp;TEXT(E93,"0.0x")&amp;"-"&amp;TEXT(I93,"0.0x")&amp;" Exit EBITDA Range at "&amp;TEXT(D96,"0.0%")&amp;" WACC"</f>
        <v>DCF Value at 9.5x-11.5x Exit EBITDA Range at 6.0% WACC</v>
      </c>
      <c r="C102" s="53" t="n">
        <f aca="false">MIN(E96:I96)</f>
        <v>270.398635904822</v>
      </c>
      <c r="D102" s="53" t="n">
        <f aca="false">MAX(E96:I96)-C102</f>
        <v>50.5893672138257</v>
      </c>
      <c r="E102" s="53" t="n">
        <f aca="false">MAX(E96:I96)</f>
        <v>320.988003118648</v>
      </c>
    </row>
    <row r="103" customFormat="false" ht="15" hidden="false" customHeight="true" outlineLevel="0" collapsed="false">
      <c r="B103" s="12" t="str">
        <f aca="false">"DCF Value at "&amp;TEXT(E84,"0.0%")&amp;"-"&amp;TEXT(I84,"0.0%")&amp;" Perpetuity Growth Range at "&amp;TEXT(D87,"0.0%")&amp;" WACC"</f>
        <v>DCF Value at 0.0%-2.0% Perpetuity Growth Range at 6.0% WACC</v>
      </c>
      <c r="C103" s="53" t="n">
        <f aca="false">MIN(E87:I87)</f>
        <v>266.63026418068</v>
      </c>
      <c r="D103" s="53" t="n">
        <f aca="false">MAX(E87:I87)-C103</f>
        <v>125.932340528156</v>
      </c>
      <c r="E103" s="53" t="n">
        <f aca="false">MAX(E87:I87)</f>
        <v>392.562604708836</v>
      </c>
    </row>
    <row r="104" customFormat="false" ht="15" hidden="false" customHeight="true" outlineLevel="0" collapsed="false">
      <c r="B104" s="12" t="s">
        <v>324</v>
      </c>
      <c r="C104" s="19" t="n">
        <v>112.4</v>
      </c>
      <c r="D104" s="53" t="n">
        <f aca="false">E104-C104</f>
        <v>30.75</v>
      </c>
      <c r="E104" s="19" t="n">
        <v>143.15</v>
      </c>
    </row>
    <row r="105" customFormat="false" ht="15" hidden="false" customHeight="true" outlineLevel="0" collapsed="false">
      <c r="B105" s="12" t="s">
        <v>325</v>
      </c>
      <c r="C105" s="53" t="n">
        <f aca="false">H5</f>
        <v>126.9</v>
      </c>
    </row>
    <row r="108" customFormat="false" ht="15" hidden="false" customHeight="true" outlineLevel="0" collapsed="false">
      <c r="B108" s="10" t="s">
        <v>326</v>
      </c>
    </row>
    <row r="109" customFormat="false" ht="15" hidden="false" customHeight="true" outlineLevel="0" collapsed="false">
      <c r="B109" s="12" t="s">
        <v>327</v>
      </c>
      <c r="C109" s="33" t="n">
        <f aca="false">Historicals!C197+Historicals!C191</f>
        <v>86865</v>
      </c>
    </row>
    <row r="110" customFormat="false" ht="15" hidden="false" customHeight="true" outlineLevel="0" collapsed="false">
      <c r="B110" s="12" t="s">
        <v>328</v>
      </c>
      <c r="C110" s="16" t="n">
        <f aca="false">C109-C46</f>
        <v>51837.1539398336</v>
      </c>
    </row>
    <row r="111" customFormat="false" ht="15" hidden="false" customHeight="true" outlineLevel="0" collapsed="false">
      <c r="B111" s="12" t="s">
        <v>329</v>
      </c>
      <c r="C111" s="16" t="n">
        <f aca="false">C110*(1+$H$4)^((I37-D37)/365)</f>
        <v>63682.0698675516</v>
      </c>
    </row>
    <row r="112" customFormat="false" ht="15" hidden="false" customHeight="true" outlineLevel="0" collapsed="false">
      <c r="B112" s="10" t="s">
        <v>330</v>
      </c>
      <c r="C112" s="35" t="n">
        <f aca="false">($H$4*C111-I30)/(C111+I30)</f>
        <v>-0.0741168459438001</v>
      </c>
    </row>
    <row r="115" customFormat="false" ht="15" hidden="false" customHeight="true" outlineLevel="0" collapsed="false">
      <c r="B115" s="10" t="s">
        <v>331</v>
      </c>
    </row>
    <row r="116" customFormat="false" ht="15" hidden="false" customHeight="true" outlineLevel="0" collapsed="false">
      <c r="B116" s="12" t="s">
        <v>332</v>
      </c>
      <c r="D116" s="12" t="str">
        <f aca="false">IF(AND(C49&gt;=0.6,C49&lt;=0.9),"OK","REVIEW")</f>
        <v>OK</v>
      </c>
    </row>
    <row r="117" customFormat="false" ht="15" hidden="false" customHeight="true" outlineLevel="0" collapsed="false">
      <c r="B117" s="12" t="s">
        <v>333</v>
      </c>
      <c r="D117" s="12" t="str">
        <f aca="false">IF(C51&lt;15,"OK","REVIEW")</f>
        <v>OK</v>
      </c>
    </row>
    <row r="118" customFormat="false" ht="15" hidden="false" customHeight="true" outlineLevel="0" collapsed="false">
      <c r="B118" s="12" t="s">
        <v>334</v>
      </c>
      <c r="D118" s="12" t="str">
        <f aca="false">IF(AND(I51&gt;0,I51&lt;0.04),"OK","REVIEW")</f>
        <v>OK</v>
      </c>
    </row>
    <row r="119" customFormat="false" ht="15" hidden="false" customHeight="true" outlineLevel="0" collapsed="false">
      <c r="B119" s="12" t="s">
        <v>335</v>
      </c>
      <c r="D119" s="12" t="str">
        <f aca="false">IF(ABS(C73/D73-1)&lt;0.15,"OK","REVIEW")</f>
        <v>OK</v>
      </c>
    </row>
    <row r="120" customFormat="false" ht="15" hidden="false" customHeight="true" outlineLevel="0" collapsed="false">
      <c r="B120" s="12" t="s">
        <v>336</v>
      </c>
      <c r="D120" s="12" t="str">
        <f aca="false">IF(ABS(C65-Historicals!C191)&lt;=1,"OK","REVIEW")</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2026-07-06T11:43:08Z</dcterms:created>
  <dc:creator>openpyxl</dc:creator>
  <dc:description/>
  <dc:language>en-US</dc:language>
  <cp:lastModifiedBy/>
  <dcterms:modified xsi:type="dcterms:W3CDTF">2026-07-26T15:25:44Z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