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8.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_SOTP" sheetId="1" state="visible" r:id="rId3"/>
    <sheet name="SOTP" sheetId="2" state="visible" r:id="rId4"/>
    <sheet name="Inputs" sheetId="3" state="visible" r:id="rId5"/>
    <sheet name="Autoroutes" sheetId="4" state="visible" r:id="rId6"/>
    <sheet name="Airports" sheetId="5" state="visible" r:id="rId7"/>
    <sheet name="Other_Concessions" sheetId="6" state="visible" r:id="rId8"/>
    <sheet name="Energy_Construction" sheetId="7" state="visible" r:id="rId9"/>
    <sheet name="Historicals" sheetId="8" state="visible" r:id="rId10"/>
  </sheet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Vinci FY2025 Consolidated Financial Statements, p.3. Excludes concession subsidiaries' revenue from works.</t>
        </r>
      </text>
    </comment>
    <comment ref="C8" authorId="0">
      <text>
        <r>
          <rPr>
            <sz val="10"/>
            <rFont val="Arial"/>
            <family val="2"/>
          </rPr>
          <t xml:space="preserve">Vinci FY2025 Consolidated Financial Statements, p.3.</t>
        </r>
      </text>
    </comment>
    <comment ref="C9" authorId="0">
      <text>
        <r>
          <rPr>
            <sz val="10"/>
            <rFont val="Arial"/>
            <family val="2"/>
          </rPr>
          <t xml:space="preserve">Vinci FY2025 Consolidated Financial Statements, p.3, reported subtotal.</t>
        </r>
      </text>
    </comment>
    <comment ref="C10" authorId="0">
      <text>
        <r>
          <rPr>
            <sz val="10"/>
            <rFont val="Arial"/>
            <family val="2"/>
          </rPr>
          <t xml:space="preserve">Tolerance of +/-1 (EUR mm) allowed: Vinci rounds each line independently before publishing, so the sum of two rounded lines can differ from the rounded reported subtotal by up to 1.</t>
        </r>
      </text>
    </comment>
    <comment ref="C12" authorId="0">
      <text>
        <r>
          <rPr>
            <sz val="10"/>
            <rFont val="Arial"/>
            <family val="2"/>
          </rPr>
          <t xml:space="preserve">Vinci FY2025 Consolidated Financial Statements, p.3 (Note 4).</t>
        </r>
      </text>
    </comment>
    <comment ref="C13" authorId="0">
      <text>
        <r>
          <rPr>
            <sz val="10"/>
            <rFont val="Arial"/>
            <family val="2"/>
          </rPr>
          <t xml:space="preserve">Vinci FY2025 Consolidated Financial Statements, p.3 (Note 4). Reported directly as a single line — Vinci uses "by nature" IFRS presentation, so this is not split into Cost of Sales / SG&amp;A / R&amp;D as under a "by function" presentation (e.g. Apple).</t>
        </r>
      </text>
    </comment>
    <comment ref="C14" authorId="0">
      <text>
        <r>
          <rPr>
            <sz val="10"/>
            <rFont val="Arial"/>
            <family val="2"/>
          </rPr>
          <t xml:space="preserve">Vinci FY2025 Consolidated Financial Statements, p.3. THIS is the model's "EBIT" line used throughout the WACC/DCF tabs. Check: Total revenue + Ancillary revenue + Operating expenses = 75,372+331-66,145 = 9,558. OK.</t>
        </r>
      </text>
    </comment>
    <comment ref="C18" authorId="0">
      <text>
        <r>
          <rPr>
            <sz val="10"/>
            <rFont val="Arial"/>
            <family val="2"/>
          </rPr>
          <t xml:space="preserve">Vinci FY2025 Consolidated Financial Statements, p.3 (Note 30).</t>
        </r>
      </text>
    </comment>
    <comment ref="C19" authorId="0">
      <text>
        <r>
          <rPr>
            <sz val="10"/>
            <rFont val="Arial"/>
            <family val="2"/>
          </rPr>
          <t xml:space="preserve">Vinci FY2025 Consolidated Financial Statements, p.3 (Notes 4/10).</t>
        </r>
      </text>
    </comment>
    <comment ref="C20" authorId="0">
      <text>
        <r>
          <rPr>
            <sz val="10"/>
            <rFont val="Arial"/>
            <family val="2"/>
          </rPr>
          <t xml:space="preserve">Vinci FY2025 Consolidated Financial Statements, p.3 (Note 4).</t>
        </r>
      </text>
    </comment>
    <comment ref="C21" authorId="0">
      <text>
        <r>
          <rPr>
            <sz val="10"/>
            <rFont val="Arial"/>
            <family val="2"/>
          </rPr>
          <t xml:space="preserve">Vinci FY2025 Consolidated Financial Statements, p.3 (Note 4). Check: EBIT - IFRS2 + equity method + other = 9,558-567+300+110 = 9,401. OK.</t>
        </r>
      </text>
    </comment>
    <comment ref="C22" authorId="0">
      <text>
        <r>
          <rPr>
            <sz val="10"/>
            <rFont val="Arial"/>
            <family val="2"/>
          </rPr>
          <t xml:space="preserve">Vinci FY2025 Consolidated Financial Statements, p.3 (Note 4).</t>
        </r>
      </text>
    </comment>
    <comment ref="C23" authorId="0">
      <text>
        <r>
          <rPr>
            <sz val="10"/>
            <rFont val="Arial"/>
            <family val="2"/>
          </rPr>
          <t xml:space="preserve">Vinci FY2025 Consolidated Financial Statements, p.3.</t>
        </r>
      </text>
    </comment>
    <comment ref="C25" authorId="0">
      <text>
        <r>
          <rPr>
            <sz val="10"/>
            <rFont val="Arial"/>
            <family val="2"/>
          </rPr>
          <t xml:space="preserve">Vinci FY2025 Consolidated Financial Statements, p.3 (Note 5).</t>
        </r>
      </text>
    </comment>
    <comment ref="C26" authorId="0">
      <text>
        <r>
          <rPr>
            <sz val="10"/>
            <rFont val="Arial"/>
            <family val="2"/>
          </rPr>
          <t xml:space="preserve">Vinci FY2025 Consolidated Financial Statements, p.3 (Note 5).</t>
        </r>
      </text>
    </comment>
    <comment ref="C27" authorId="0">
      <text>
        <r>
          <rPr>
            <sz val="10"/>
            <rFont val="Arial"/>
            <family val="2"/>
          </rPr>
          <t xml:space="preserve">Vinci FY2025 Consolidated Financial Statements, p.3 (Note 5).</t>
        </r>
      </text>
    </comment>
    <comment ref="C28" authorId="0">
      <text>
        <r>
          <rPr>
            <sz val="10"/>
            <rFont val="Arial"/>
            <family val="2"/>
          </rPr>
          <t xml:space="preserve">Vinci FY2025 Consolidated Financial Statements, p.3 (Note 6).</t>
        </r>
      </text>
    </comment>
    <comment ref="C29" authorId="0">
      <text>
        <r>
          <rPr>
            <sz val="10"/>
            <rFont val="Arial"/>
            <family val="2"/>
          </rPr>
          <t xml:space="preserve">FIXED: previously omitted subtracting equity-method profit (row 19), giving 7,936 instead of the correct 7,636. Vinci's own Note 7.2 tax reconciliation explicitly uses "Income before tax AND profit of companies accounted for under the equity method" as its base (7,636 FY25 / 7,156 FY24) — confirmed exactly against the PDF, p.30, 4-Jul-2026.</t>
        </r>
      </text>
    </comment>
    <comment ref="C30" authorId="0">
      <text>
        <r>
          <rPr>
            <sz val="10"/>
            <rFont val="Arial"/>
            <family val="2"/>
          </rPr>
          <t xml:space="preserve">Vinci FY2025 Consolidated Financial Statements, p.3 (Note 7).</t>
        </r>
      </text>
    </comment>
    <comment ref="C31" authorId="0">
      <text>
        <r>
          <rPr>
            <sz val="10"/>
            <rFont val="Arial"/>
            <family val="2"/>
          </rPr>
          <t xml:space="preserve">Materially above the 25% French statutory rate — see Section 1b below: the primary driver is the 2025 Finance Law's temporary large-company exceptional surtax (first applicable FY2025), not generic non-deductible items. Cross-check: FY2024 (pre-surtax) effective rate is much closer to the 25% base rate, consistent with this explanation.</t>
        </r>
      </text>
    </comment>
    <comment ref="C32" authorId="0">
      <text>
        <r>
          <rPr>
            <sz val="10"/>
            <rFont val="Arial"/>
            <family val="2"/>
          </rPr>
          <t xml:space="preserve">Vinci FY2025 Consolidated Financial Statements, p.3.</t>
        </r>
      </text>
    </comment>
    <comment ref="C33" authorId="0">
      <text>
        <r>
          <rPr>
            <sz val="10"/>
            <rFont val="Arial"/>
            <family val="2"/>
          </rPr>
          <t xml:space="preserve">Vinci FY2025 Consolidated Financial Statements, p.3 (Note 23.5).</t>
        </r>
      </text>
    </comment>
    <comment ref="C34" authorId="0">
      <text>
        <r>
          <rPr>
            <sz val="10"/>
            <rFont val="Arial"/>
            <family val="2"/>
          </rPr>
          <t xml:space="preserve">Vinci FY2025 Consolidated Financial Statements, p.3. Check: Net income - NCI = 5,275-372 = 4,903. OK.</t>
        </r>
      </text>
    </comment>
    <comment ref="C36" authorId="0">
      <text>
        <r>
          <rPr>
            <sz val="10"/>
            <rFont val="Arial"/>
            <family val="2"/>
          </rPr>
          <t xml:space="preserve">Vinci FY2025 Consolidated Financial Statements, p.26 (Note 4, expense by nature) — NOT on the p.3 Income Statement cascade above. Shown here as a positive magnitude for the EBITDA build-up.</t>
        </r>
      </text>
    </comment>
    <comment ref="C38" authorId="0">
      <text>
        <r>
          <rPr>
            <sz val="10"/>
            <rFont val="Arial"/>
            <family val="2"/>
          </rPr>
          <t xml:space="preserve">Calculated as EBIT + D&amp;A for internal DCF consistency. NOT on Vinci's p.3 Income Statement — Vinci does not report a group EBITDA line there. NOTE: differs from the separately-disclosed "cash flow from operations before tax and financing costs" of EUR 13,507m (FY25)/EUR 12,689m (FY24) in the Cash Flow Statement, which nets additional adjustments (provisions, disposals, FX, lease finance costs) beyond D&amp;A alone — those are modelled as separate lines above, so using the CFS figure here would double-count them.</t>
        </r>
      </text>
    </comment>
    <comment ref="C42" authorId="0">
      <text>
        <r>
          <rPr>
            <sz val="10"/>
            <rFont val="Arial"/>
            <family val="2"/>
          </rPr>
          <t xml:space="preserve">Vinci FY2025 Consolidated Financial Statements, p.3 (Note 8).</t>
        </r>
      </text>
    </comment>
    <comment ref="C43" authorId="0">
      <text>
        <r>
          <rPr>
            <sz val="10"/>
            <rFont val="Arial"/>
            <family val="2"/>
          </rPr>
          <t xml:space="preserve">Vinci FY2025 Consolidated Financial Statements, p.3 (Note 8).</t>
        </r>
      </text>
    </comment>
    <comment ref="C45" authorId="0">
      <text>
        <r>
          <rPr>
            <sz val="10"/>
            <rFont val="Arial"/>
            <family val="2"/>
          </rPr>
          <t xml:space="preserve">Cross-check against the 530.01mm diluted shares outstanding sourced from stockanalysis.com (Section 4 below) — should be broadly consistent.</t>
        </r>
      </text>
    </comment>
    <comment ref="C48" authorId="0">
      <text>
        <r>
          <rPr>
            <sz val="10"/>
            <rFont val="Arial"/>
            <family val="2"/>
          </rPr>
          <t xml:space="preserve">Vinci FY2025 Consolidated Financial Statements, p.30 (Note 7.2, tax rate reconciliation): "Theoretical tax rate in France (excluding the exceptional contribution): 25.8%" — Vinci's own disclosed figure, replacing the generic 25% statutory-rate assumption used earlier.</t>
        </r>
      </text>
    </comment>
    <comment ref="C49" authorId="0">
      <text>
        <r>
          <rPr>
            <sz val="10"/>
            <rFont val="Arial"/>
            <family val="2"/>
          </rPr>
          <t xml:space="preserve">The 2025 Finance Law introduced a temporary exceptional contribution on CIT for French companies with turnover &gt;EUR 1bn, for the first FY ending on/after 31-Dec-2025; extended (narrowed to &gt;EUR 1.5bn threshold, halved rates) by the 2026 Finance Law for FY2026. Vinci's turnover (~EUR 75bn) is far above even the highest tier (&gt;EUR 3bn), so the surtax applies in full. Source: BDO Corporate Tax News, "France 2026 Budget Finally Passed", and DLA Piper REALWORLD, Taxation in France.</t>
        </r>
      </text>
    </comment>
    <comment ref="C50" authorId="0">
      <text>
        <r>
          <rPr>
            <sz val="10"/>
            <rFont val="Arial"/>
            <family val="2"/>
          </rPr>
          <t xml:space="preserve">Vinci FY2025 Consolidated Financial Statements, p.30 (Note 7.2): "The Group's effective tax rate was 34.8% in 2025, compared with 29.4% in 2024. This increase reflects the exceptional contribution... which raised the rate by 5.9%." Replaces the earlier third-party-sourced 36.3% estimate (BDO) with Vinci's own precise, audited figure.</t>
        </r>
      </text>
    </comment>
    <comment ref="C51" authorId="0">
      <text>
        <r>
          <rPr>
            <sz val="10"/>
            <rFont val="Arial"/>
            <family val="2"/>
          </rPr>
          <t xml:space="preserve">VINCI 2025 full-year results press release (5-Feb-2026), footnote 22: "Taking into account that the higher corporate income tax rate introduced in France in 2025 (around 36%) also applies in 2026." This directly confirms the FY2026 near-term rate assumption without needing to estimate from third-party summaries.</t>
        </r>
      </text>
    </comment>
    <comment ref="C52" authorId="0">
      <text>
        <r>
          <rPr>
            <sz val="10"/>
            <rFont val="Arial"/>
            <family val="2"/>
          </rPr>
          <t xml:space="preserve">FY2025 effective rate (shown live in the cell to the left) is much closer to the 36.30% FY25 surtax-inclusive rate than to the plain 25% base rate. FY2024 effective rate (pre-surtax year, right column) is much closer to 25% + small residual items. This internal consistency supports the surtax explanation above.</t>
        </r>
      </text>
    </comment>
    <comment ref="C53" authorId="0">
      <text>
        <r>
          <rPr>
            <sz val="10"/>
            <rFont val="Arial"/>
            <family val="2"/>
          </rPr>
          <t xml:space="preserve">UPDATED to Vinci's own precisely disclosed FY2025 effective tax rate (34.8%), confirmed by the company's own guidance to continue at a similar ("around 36%") level into FY2026 — the forecast year this rate applies to in the DCF tab.</t>
        </r>
      </text>
    </comment>
    <comment ref="C54" authorId="0">
      <text>
        <r>
          <rPr>
            <sz val="10"/>
            <rFont val="Arial"/>
            <family val="2"/>
          </rPr>
          <t xml:space="preserve">UPDATED to Vinci's own disclosed theoretical/statutory rate (25.8%, excluding the exceptional surtax), per Note 7.2 — used for terminal/long-run years once the temporary surtax is assumed to have expired.</t>
        </r>
      </text>
    </comment>
    <comment ref="C59" authorId="0">
      <text>
        <r>
          <rPr>
            <sz val="10"/>
            <rFont val="Arial"/>
            <family val="2"/>
          </rPr>
          <t xml:space="preserve">Vinci FY2025 Consolidated Financial Statements, p.5 (Balance Sheet).</t>
        </r>
      </text>
    </comment>
    <comment ref="C60" authorId="0">
      <text>
        <r>
          <rPr>
            <sz val="10"/>
            <rFont val="Arial"/>
            <family val="2"/>
          </rPr>
          <t xml:space="preserve">Vinci FY2025 Consolidated Financial Statements, p.5 (Balance Sheet).</t>
        </r>
      </text>
    </comment>
    <comment ref="C61" authorId="0">
      <text>
        <r>
          <rPr>
            <sz val="10"/>
            <rFont val="Arial"/>
            <family val="2"/>
          </rPr>
          <t xml:space="preserve">Vinci FY2025 Consolidated Financial Statements, p.5 (Balance Sheet).</t>
        </r>
      </text>
    </comment>
    <comment ref="C62" authorId="0">
      <text>
        <r>
          <rPr>
            <sz val="10"/>
            <rFont val="Arial"/>
            <family val="2"/>
          </rPr>
          <t xml:space="preserve">Vinci FY2025 Consolidated Financial Statements, p.5 (Balance Sheet).</t>
        </r>
      </text>
    </comment>
    <comment ref="C63" authorId="0">
      <text>
        <r>
          <rPr>
            <sz val="10"/>
            <rFont val="Arial"/>
            <family val="2"/>
          </rPr>
          <t xml:space="preserve">Vinci FY2025 Consolidated Financial Statements, p.5 (Balance Sheet).</t>
        </r>
      </text>
    </comment>
    <comment ref="C64" authorId="0">
      <text>
        <r>
          <rPr>
            <sz val="10"/>
            <rFont val="Arial"/>
            <family val="2"/>
          </rPr>
          <t xml:space="preserve">Vinci FY2025 Consolidated Financial Statements, p.5 (Balance Sheet).</t>
        </r>
      </text>
    </comment>
    <comment ref="C65" authorId="0">
      <text>
        <r>
          <rPr>
            <sz val="10"/>
            <rFont val="Arial"/>
            <family val="2"/>
          </rPr>
          <t xml:space="preserve">Vinci FY2025 Consolidated Financial Statements, p.5 (Balance Sheet).</t>
        </r>
      </text>
    </comment>
    <comment ref="C66" authorId="0">
      <text>
        <r>
          <rPr>
            <sz val="10"/>
            <rFont val="Arial"/>
            <family val="2"/>
          </rPr>
          <t xml:space="preserve">Vinci FY2025 Consolidated Financial Statements, p.5 (Balance Sheet).</t>
        </r>
      </text>
    </comment>
    <comment ref="C70" authorId="0">
      <text>
        <r>
          <rPr>
            <sz val="10"/>
            <rFont val="Arial"/>
            <family val="2"/>
          </rPr>
          <t xml:space="preserve">Vinci FY2025 Consolidated Financial Statements, p.5 (Balance Sheet).</t>
        </r>
      </text>
    </comment>
    <comment ref="C71" authorId="0">
      <text>
        <r>
          <rPr>
            <sz val="10"/>
            <rFont val="Arial"/>
            <family val="2"/>
          </rPr>
          <t xml:space="preserve">Vinci FY2025 Consolidated Financial Statements, p.5 (Balance Sheet).</t>
        </r>
      </text>
    </comment>
    <comment ref="C72" authorId="0">
      <text>
        <r>
          <rPr>
            <sz val="10"/>
            <rFont val="Arial"/>
            <family val="2"/>
          </rPr>
          <t xml:space="preserve">Vinci FY2025 Consolidated Financial Statements, p.5 (Balance Sheet).</t>
        </r>
      </text>
    </comment>
    <comment ref="C73" authorId="0">
      <text>
        <r>
          <rPr>
            <sz val="10"/>
            <rFont val="Arial"/>
            <family val="2"/>
          </rPr>
          <t xml:space="preserve">Vinci FY2025 Consolidated Financial Statements, p.5 (Balance Sheet).</t>
        </r>
      </text>
    </comment>
    <comment ref="C74" authorId="0">
      <text>
        <r>
          <rPr>
            <sz val="10"/>
            <rFont val="Arial"/>
            <family val="2"/>
          </rPr>
          <t xml:space="preserve">Vinci FY2025 Consolidated Financial Statements, p.5 (Balance Sheet).</t>
        </r>
      </text>
    </comment>
    <comment ref="C75" authorId="0">
      <text>
        <r>
          <rPr>
            <sz val="10"/>
            <rFont val="Arial"/>
            <family val="2"/>
          </rPr>
          <t xml:space="preserve">Vinci FY2025 Consolidated Financial Statements, p.5 (Balance Sheet).</t>
        </r>
      </text>
    </comment>
    <comment ref="C76" authorId="0">
      <text>
        <r>
          <rPr>
            <sz val="10"/>
            <rFont val="Arial"/>
            <family val="2"/>
          </rPr>
          <t xml:space="preserve">Vinci FY2025 Consolidated Financial Statements, p.5 (Balance Sheet).</t>
        </r>
      </text>
    </comment>
    <comment ref="C77" authorId="0">
      <text>
        <r>
          <rPr>
            <sz val="10"/>
            <rFont val="Arial"/>
            <family val="2"/>
          </rPr>
          <t xml:space="preserve">Vinci FY2025 Consolidated Financial Statements, p.5 (Balance Sheet).</t>
        </r>
      </text>
    </comment>
    <comment ref="C83" authorId="0">
      <text>
        <r>
          <rPr>
            <sz val="10"/>
            <rFont val="Arial"/>
            <family val="2"/>
          </rPr>
          <t xml:space="preserve">Vinci FY2025 Consolidated Financial Statements, p.6 (Balance Sheet).</t>
        </r>
      </text>
    </comment>
    <comment ref="C84" authorId="0">
      <text>
        <r>
          <rPr>
            <sz val="10"/>
            <rFont val="Arial"/>
            <family val="2"/>
          </rPr>
          <t xml:space="preserve">Vinci FY2025 Consolidated Financial Statements, p.6 (Balance Sheet).</t>
        </r>
      </text>
    </comment>
    <comment ref="C85" authorId="0">
      <text>
        <r>
          <rPr>
            <sz val="10"/>
            <rFont val="Arial"/>
            <family val="2"/>
          </rPr>
          <t xml:space="preserve">Vinci FY2025 Consolidated Financial Statements, p.6 (Balance Sheet).</t>
        </r>
      </text>
    </comment>
    <comment ref="C86" authorId="0">
      <text>
        <r>
          <rPr>
            <sz val="10"/>
            <rFont val="Arial"/>
            <family val="2"/>
          </rPr>
          <t xml:space="preserve">Vinci FY2025 Consolidated Financial Statements, p.6 (Balance Sheet).</t>
        </r>
      </text>
    </comment>
    <comment ref="C87" authorId="0">
      <text>
        <r>
          <rPr>
            <sz val="10"/>
            <rFont val="Arial"/>
            <family val="2"/>
          </rPr>
          <t xml:space="preserve">Vinci FY2025 Consolidated Financial Statements, p.6 (Balance Sheet).</t>
        </r>
      </text>
    </comment>
    <comment ref="C88" authorId="0">
      <text>
        <r>
          <rPr>
            <sz val="10"/>
            <rFont val="Arial"/>
            <family val="2"/>
          </rPr>
          <t xml:space="preserve">Vinci FY2025 Consolidated Financial Statements, p.6 (Balance Sheet).</t>
        </r>
      </text>
    </comment>
    <comment ref="C89" authorId="0">
      <text>
        <r>
          <rPr>
            <sz val="10"/>
            <rFont val="Arial"/>
            <family val="2"/>
          </rPr>
          <t xml:space="preserve">Vinci FY2025 Consolidated Financial Statements, p.6 (Balance Sheet).</t>
        </r>
      </text>
    </comment>
    <comment ref="C95" authorId="0">
      <text>
        <r>
          <rPr>
            <sz val="10"/>
            <rFont val="Arial"/>
            <family val="2"/>
          </rPr>
          <t xml:space="preserve">Vinci FY2025 Consolidated Financial Statements, p.6 (Balance Sheet).</t>
        </r>
      </text>
    </comment>
    <comment ref="C96" authorId="0">
      <text>
        <r>
          <rPr>
            <sz val="10"/>
            <rFont val="Arial"/>
            <family val="2"/>
          </rPr>
          <t xml:space="preserve">Vinci FY2025 Consolidated Financial Statements, p.6 (Balance Sheet).</t>
        </r>
      </text>
    </comment>
    <comment ref="C97" authorId="0">
      <text>
        <r>
          <rPr>
            <sz val="10"/>
            <rFont val="Arial"/>
            <family val="2"/>
          </rPr>
          <t xml:space="preserve">Vinci FY2025 Consolidated Financial Statements, p.6 (Balance Sheet).</t>
        </r>
      </text>
    </comment>
    <comment ref="C98" authorId="0">
      <text>
        <r>
          <rPr>
            <sz val="10"/>
            <rFont val="Arial"/>
            <family val="2"/>
          </rPr>
          <t xml:space="preserve">Vinci FY2025 Consolidated Financial Statements, p.6 (Balance Sheet).</t>
        </r>
      </text>
    </comment>
    <comment ref="C99" authorId="0">
      <text>
        <r>
          <rPr>
            <sz val="10"/>
            <rFont val="Arial"/>
            <family val="2"/>
          </rPr>
          <t xml:space="preserve">Vinci FY2025 Consolidated Financial Statements, p.6 (Balance Sheet).</t>
        </r>
      </text>
    </comment>
    <comment ref="C100" authorId="0">
      <text>
        <r>
          <rPr>
            <sz val="10"/>
            <rFont val="Arial"/>
            <family val="2"/>
          </rPr>
          <t xml:space="preserve">Vinci FY2025 Consolidated Financial Statements, p.6 (Balance Sheet).</t>
        </r>
      </text>
    </comment>
    <comment ref="C101" authorId="0">
      <text>
        <r>
          <rPr>
            <sz val="10"/>
            <rFont val="Arial"/>
            <family val="2"/>
          </rPr>
          <t xml:space="preserve">Vinci FY2025 Consolidated Financial Statements, p.6 (Balance Sheet).</t>
        </r>
      </text>
    </comment>
    <comment ref="C102" authorId="0">
      <text>
        <r>
          <rPr>
            <sz val="10"/>
            <rFont val="Arial"/>
            <family val="2"/>
          </rPr>
          <t xml:space="preserve">Vinci FY2025 Consolidated Financial Statements, p.6 (Balance Sheet).</t>
        </r>
      </text>
    </comment>
    <comment ref="C106" authorId="0">
      <text>
        <r>
          <rPr>
            <sz val="10"/>
            <rFont val="Arial"/>
            <family val="2"/>
          </rPr>
          <t xml:space="preserve">Vinci FY2025 Consolidated Financial Statements, p.6 (Balance Sheet).</t>
        </r>
      </text>
    </comment>
    <comment ref="C107" authorId="0">
      <text>
        <r>
          <rPr>
            <sz val="10"/>
            <rFont val="Arial"/>
            <family val="2"/>
          </rPr>
          <t xml:space="preserve">Vinci FY2025 Consolidated Financial Statements, p.6 (Balance Sheet).</t>
        </r>
      </text>
    </comment>
    <comment ref="C108" authorId="0">
      <text>
        <r>
          <rPr>
            <sz val="10"/>
            <rFont val="Arial"/>
            <family val="2"/>
          </rPr>
          <t xml:space="preserve">Vinci FY2025 Consolidated Financial Statements, p.6 (Balance Sheet).</t>
        </r>
      </text>
    </comment>
    <comment ref="C109" authorId="0">
      <text>
        <r>
          <rPr>
            <sz val="10"/>
            <rFont val="Arial"/>
            <family val="2"/>
          </rPr>
          <t xml:space="preserve">Vinci FY2025 Consolidated Financial Statements, p.6 (Balance Sheet).</t>
        </r>
      </text>
    </comment>
    <comment ref="C110" authorId="0">
      <text>
        <r>
          <rPr>
            <sz val="10"/>
            <rFont val="Arial"/>
            <family val="2"/>
          </rPr>
          <t xml:space="preserve">Vinci FY2025 Consolidated Financial Statements, p.6 (Balance Sheet).</t>
        </r>
      </text>
    </comment>
    <comment ref="C111" authorId="0">
      <text>
        <r>
          <rPr>
            <sz val="10"/>
            <rFont val="Arial"/>
            <family val="2"/>
          </rPr>
          <t xml:space="preserve">Vinci FY2025 Consolidated Financial Statements, p.6 (Balance Sheet).</t>
        </r>
      </text>
    </comment>
    <comment ref="C112" authorId="0">
      <text>
        <r>
          <rPr>
            <sz val="10"/>
            <rFont val="Arial"/>
            <family val="2"/>
          </rPr>
          <t xml:space="preserve">Vinci FY2025 Consolidated Financial Statements, p.6 (Balance Sheet).</t>
        </r>
      </text>
    </comment>
    <comment ref="C117" authorId="0">
      <text>
        <r>
          <rPr>
            <sz val="10"/>
            <rFont val="Arial"/>
            <family val="2"/>
          </rPr>
          <t xml:space="preserve">Per WSP methodology Sec.9: balance check must always be visible as its own row, never hidden. A small +/-2 (EUR mm) tolerance is allowed: each subtotal (Total Assets, Total Equity, Total Liabilities) is independently rounded by Vinci before publishing, so summing rounded components can differ from the rounded reported total by a euro or two — the same rounding artefact seen elsewhere in this workbook (Sec.1 revenue check). A difference beyond this tolerance would indicate a genuine mapping error.</t>
        </r>
      </text>
    </comment>
    <comment ref="C122" authorId="0">
      <text>
        <r>
          <rPr>
            <sz val="10"/>
            <rFont val="Arial"/>
            <family val="2"/>
          </rPr>
          <t xml:space="preserve">Vinci FY2025 Consolidated Financial Statements, p.7 (Cash Flow Statement).</t>
        </r>
      </text>
    </comment>
    <comment ref="C123" authorId="0">
      <text>
        <r>
          <rPr>
            <sz val="10"/>
            <rFont val="Arial"/>
            <family val="2"/>
          </rPr>
          <t xml:space="preserve">Vinci FY2025 Consolidated Financial Statements, p.7 (Cash Flow Statement).</t>
        </r>
      </text>
    </comment>
    <comment ref="C124" authorId="0">
      <text>
        <r>
          <rPr>
            <sz val="10"/>
            <rFont val="Arial"/>
            <family val="2"/>
          </rPr>
          <t xml:space="preserve">Vinci FY2025 Consolidated Financial Statements, p.7 (Cash Flow Statement).</t>
        </r>
      </text>
    </comment>
    <comment ref="C125" authorId="0">
      <text>
        <r>
          <rPr>
            <sz val="10"/>
            <rFont val="Arial"/>
            <family val="2"/>
          </rPr>
          <t xml:space="preserve">Vinci FY2025 Consolidated Financial Statements, p.7 (Cash Flow Statement).</t>
        </r>
      </text>
    </comment>
    <comment ref="C126" authorId="0">
      <text>
        <r>
          <rPr>
            <sz val="10"/>
            <rFont val="Arial"/>
            <family val="2"/>
          </rPr>
          <t xml:space="preserve">Vinci FY2025 Consolidated Financial Statements, p.7 (Cash Flow Statement).</t>
        </r>
      </text>
    </comment>
    <comment ref="C127" authorId="0">
      <text>
        <r>
          <rPr>
            <sz val="10"/>
            <rFont val="Arial"/>
            <family val="2"/>
          </rPr>
          <t xml:space="preserve">Vinci FY2025 Consolidated Financial Statements, p.7 (Cash Flow Statement).</t>
        </r>
      </text>
    </comment>
    <comment ref="C128" authorId="0">
      <text>
        <r>
          <rPr>
            <sz val="10"/>
            <rFont val="Arial"/>
            <family val="2"/>
          </rPr>
          <t xml:space="preserve">Vinci FY2025 Consolidated Financial Statements, p.7 (Cash Flow Statement).</t>
        </r>
      </text>
    </comment>
    <comment ref="C129" authorId="0">
      <text>
        <r>
          <rPr>
            <sz val="10"/>
            <rFont val="Arial"/>
            <family val="2"/>
          </rPr>
          <t xml:space="preserve">Vinci FY2025 Consolidated Financial Statements, p.7 (Cash Flow Statement).</t>
        </r>
      </text>
    </comment>
    <comment ref="C130" authorId="0">
      <text>
        <r>
          <rPr>
            <sz val="10"/>
            <rFont val="Arial"/>
            <family val="2"/>
          </rPr>
          <t xml:space="preserve">Vinci FY2025 Consolidated Financial Statements, p.7 (Cash Flow Statement).</t>
        </r>
      </text>
    </comment>
    <comment ref="C131" authorId="0">
      <text>
        <r>
          <rPr>
            <sz val="10"/>
            <rFont val="Arial"/>
            <family val="2"/>
          </rPr>
          <t xml:space="preserve">Vinci FY2025 Consolidated Financial Statements, p.7 (Cash Flow Statement).</t>
        </r>
      </text>
    </comment>
    <comment ref="C132" authorId="0">
      <text>
        <r>
          <rPr>
            <sz val="10"/>
            <rFont val="Arial"/>
            <family val="2"/>
          </rPr>
          <t xml:space="preserve">Vinci FY2025 Consolidated Financial Statements, p.7 (Cash Flow Statement).</t>
        </r>
      </text>
    </comment>
    <comment ref="C133" authorId="0">
      <text>
        <r>
          <rPr>
            <sz val="10"/>
            <rFont val="Arial"/>
            <family val="2"/>
          </rPr>
          <t xml:space="preserve">Reported directly by Vinci as EUR 13,507m (FY25)/EUR 12,689m (FY24) — cross-check the formula sum against this.</t>
        </r>
      </text>
    </comment>
    <comment ref="C139" authorId="0">
      <text>
        <r>
          <rPr>
            <sz val="10"/>
            <rFont val="Arial"/>
            <family val="2"/>
          </rPr>
          <t xml:space="preserve">Vinci FY2025 Consolidated Financial Statements, p.7 — reported subtotal (hardcode, not a formula sum).</t>
        </r>
      </text>
    </comment>
    <comment ref="C143" authorId="0">
      <text>
        <r>
          <rPr>
            <sz val="10"/>
            <rFont val="Arial"/>
            <family val="2"/>
          </rPr>
          <t xml:space="preserve">Vinci FY2025 Consolidated Financial Statements, p.7.</t>
        </r>
      </text>
    </comment>
    <comment ref="C144" authorId="0">
      <text>
        <r>
          <rPr>
            <sz val="10"/>
            <rFont val="Arial"/>
            <family val="2"/>
          </rPr>
          <t xml:space="preserve">Vinci FY2025 Consolidated Financial Statements, p.7.</t>
        </r>
      </text>
    </comment>
    <comment ref="C145" authorId="0">
      <text>
        <r>
          <rPr>
            <sz val="10"/>
            <rFont val="Arial"/>
            <family val="2"/>
          </rPr>
          <t xml:space="preserve">Check: should equal EUR (2,832)m (FY25)/EUR (2,708)m (FY24) — cross-check against reported subtotal.</t>
        </r>
      </text>
    </comment>
    <comment ref="C146" authorId="0">
      <text>
        <r>
          <rPr>
            <sz val="10"/>
            <rFont val="Arial"/>
            <family val="2"/>
          </rPr>
          <t xml:space="preserve">Vinci FY2025 Consolidated Financial Statements, p.7.</t>
        </r>
      </text>
    </comment>
    <comment ref="C147" authorId="0">
      <text>
        <r>
          <rPr>
            <sz val="10"/>
            <rFont val="Arial"/>
            <family val="2"/>
          </rPr>
          <t xml:space="preserve">Vinci FY2025 Consolidated Financial Statements, p.7.</t>
        </r>
      </text>
    </comment>
    <comment ref="C149" authorId="0">
      <text>
        <r>
          <rPr>
            <sz val="10"/>
            <rFont val="Arial"/>
            <family val="2"/>
          </rPr>
          <t xml:space="preserve">This is the capex figure used in the DCF UFCF build — excludes M&amp;A ("purchases of shares in subsidiaries"), which is discretionary, not organic reinvestment.</t>
        </r>
      </text>
    </comment>
    <comment ref="C150" authorId="0">
      <text>
        <r>
          <rPr>
            <sz val="10"/>
            <rFont val="Arial"/>
            <family val="2"/>
          </rPr>
          <t xml:space="preserve">Vinci FY2025 Consolidated Financial Statements, p.7.</t>
        </r>
      </text>
    </comment>
    <comment ref="C151" authorId="0">
      <text>
        <r>
          <rPr>
            <sz val="10"/>
            <rFont val="Arial"/>
            <family val="2"/>
          </rPr>
          <t xml:space="preserve">Vinci FY2025 Consolidated Financial Statements, p.7.</t>
        </r>
      </text>
    </comment>
    <comment ref="C152" authorId="0">
      <text>
        <r>
          <rPr>
            <sz val="10"/>
            <rFont val="Arial"/>
            <family val="2"/>
          </rPr>
          <t xml:space="preserve">Vinci FY2025 Consolidated Financial Statements, p.7.</t>
        </r>
      </text>
    </comment>
    <comment ref="C155" authorId="0">
      <text>
        <r>
          <rPr>
            <sz val="10"/>
            <rFont val="Arial"/>
            <family val="2"/>
          </rPr>
          <t xml:space="preserve">Vinci FY2025 Consolidated Financial Statements, p.7 — reported subtotal (hardcode, not a formula sum).</t>
        </r>
      </text>
    </comment>
    <comment ref="C159" authorId="0">
      <text>
        <r>
          <rPr>
            <sz val="10"/>
            <rFont val="Arial"/>
            <family val="2"/>
          </rPr>
          <t xml:space="preserve">Vinci FY2025 Consolidated Financial Statements, p.7.</t>
        </r>
      </text>
    </comment>
    <comment ref="C160" authorId="0">
      <text>
        <r>
          <rPr>
            <sz val="10"/>
            <rFont val="Arial"/>
            <family val="2"/>
          </rPr>
          <t xml:space="preserve">Vinci FY2025 Consolidated Financial Statements, p.7.</t>
        </r>
      </text>
    </comment>
    <comment ref="C161" authorId="0">
      <text>
        <r>
          <rPr>
            <sz val="10"/>
            <rFont val="Arial"/>
            <family val="2"/>
          </rPr>
          <t xml:space="preserve">Vinci FY2025 Consolidated Financial Statements, p.7.</t>
        </r>
      </text>
    </comment>
    <comment ref="C162" authorId="0">
      <text>
        <r>
          <rPr>
            <sz val="10"/>
            <rFont val="Arial"/>
            <family val="2"/>
          </rPr>
          <t xml:space="preserve">CORRECTED from -67 to -19. Vinci FY2025 Consolidated Financial Statements, p.7: "Acquisitions/disposals of non-controlling interests (without acquisition or loss of control)" = EUR (19)m. This was the exact source of the EUR 48m financing-section tie-out gap flagged earlier -67 vs -19 = 48. Verified directly against the PDF (vinci-consolidated-financial-statements-at-31-december-2025-en.pdf), 4-Jul-2026.</t>
        </r>
      </text>
    </comment>
    <comment ref="C169" authorId="0">
      <text>
        <r>
          <rPr>
            <sz val="10"/>
            <rFont val="Arial"/>
            <family val="2"/>
          </rPr>
          <t xml:space="preserve">Vinci FY2025 Consolidated Financial Statements, p.7 — reported subtotal (hardcode, not a formula sum).</t>
        </r>
      </text>
    </comment>
    <comment ref="C170" authorId="0">
      <text>
        <r>
          <rPr>
            <sz val="10"/>
            <rFont val="Arial"/>
            <family val="2"/>
          </rPr>
          <t xml:space="preserve">FLAG: as extracted, the line items sum to a figure ~EUR 48m away from Vinci's reported financing subtotal — too large to be simple independent-rounding noise (contrast with the +/-1 to +/-2 seen elsewhere in this workbook). Before relying on this section, verify the individual financing lines (especially "Repayments of long-term borrowings" and "Change in cash management assets") against p.7 of the FY2025 Consolidated Financial Statements directly — this is exactly the kind of discrepancy the methodology (Sec.9) says to trace immediately rather than paper over. The reported subtotal (-4,270/-3,027) is used as the hardcode above so downstream figures (Change in net cash) still tie to Vinci's own published cash reconciliation.</t>
        </r>
      </text>
    </comment>
    <comment ref="C173" authorId="0">
      <text>
        <r>
          <rPr>
            <sz val="10"/>
            <rFont val="Arial"/>
            <family val="2"/>
          </rPr>
          <t xml:space="preserve">Check: should equal EUR 2,363m (FY25)/EUR (404)m (FY24) as reported.</t>
        </r>
      </text>
    </comment>
    <comment ref="C175" authorId="0">
      <text>
        <r>
          <rPr>
            <sz val="10"/>
            <rFont val="Arial"/>
            <family val="2"/>
          </rPr>
          <t xml:space="preserve">NOTE: this "net cash" figure (CFS definition) does not equal the Balance Sheet's "Cash and cash equivalents" line (EUR 17,254m) — Vinci's CFS nets out bank overdrafts and other short-term items embedded within Current borrowings on the BS. This is a normal, disclosed reconciling difference, not an error; do not force these two figures to tie without adjusting for that netting.</t>
        </r>
      </text>
    </comment>
    <comment ref="C181" authorId="0">
      <text>
        <r>
          <rPr>
            <sz val="10"/>
            <rFont val="Arial"/>
            <family val="2"/>
          </rPr>
          <t xml:space="preserve">Negative NWC = Vinci is working-capital cash-generative (advance payments typical of construction/concessions). Cross-check: implied change (2024-&gt;2025) is consistent with the EUR 2,496m "changes in operating working capital" line in the Cash Flow Statement above (Section 3).</t>
        </r>
      </text>
    </comment>
    <comment ref="C186" authorId="0">
      <text>
        <r>
          <rPr>
            <sz val="10"/>
            <rFont val="Arial"/>
            <family val="2"/>
          </rPr>
          <t xml:space="preserve">Vinci FY2025 Consolidated Financial Statements, p.61 (dedicated Net Debt note). Negative = liability. Cross-check vs. Balance Sheet: Bonds (row 97) + Other loans NC + Current borrowings (row 112) = 24,787+5,185+6,740 = 36,712 — ties out exactly.</t>
        </r>
      </text>
    </comment>
    <comment ref="C188" authorId="0">
      <text>
        <r>
          <rPr>
            <sz val="10"/>
            <rFont val="Arial"/>
            <family val="2"/>
          </rPr>
          <t xml:space="preserve">Vinci FY2025 Consolidated Financial Statements, p.61. Per the note's own definition — not a simple sum of all BS financial-asset lines, which include items (e.g. non-current financial assets) the note may treat differently.</t>
        </r>
      </text>
    </comment>
    <comment ref="C189" authorId="0">
      <text>
        <r>
          <rPr>
            <sz val="10"/>
            <rFont val="Arial"/>
            <family val="2"/>
          </rPr>
          <t xml:space="preserve">Vinci FY2025 Consolidated Financial Statements, p.61.</t>
        </r>
      </text>
    </comment>
    <comment ref="C195" authorId="0">
      <text>
        <r>
          <rPr>
            <sz val="10"/>
            <rFont val="Arial"/>
            <family val="2"/>
          </rPr>
          <t xml:space="preserve">stockanalysis.com, DG (Euronext Paris), queried 4-Jul-2026.</t>
        </r>
      </text>
    </comment>
    <comment ref="C196" authorId="0">
      <text>
        <r>
          <rPr>
            <sz val="10"/>
            <rFont val="Arial"/>
            <family val="2"/>
          </rPr>
          <t xml:space="preserve">stockanalysis.com, DG, queried 4-Jul-2026.</t>
        </r>
      </text>
    </comment>
    <comment ref="C198" authorId="0">
      <text>
        <r>
          <rPr>
            <sz val="10"/>
            <rFont val="Arial"/>
            <family val="2"/>
          </rPr>
          <t xml:space="preserve">stockanalysis.com. Cross-check against implied diluted shares from EPS (Section 1): gap explained by FY25 weighted-average share count (EPS basis) vs. current point-in-time count, given Vinci's recurring buyback programme.</t>
        </r>
      </text>
    </comment>
    <comment ref="C205" authorId="0">
      <text>
        <r>
          <rPr>
            <sz val="10"/>
            <rFont val="Arial"/>
            <family val="2"/>
          </rPr>
          <t xml:space="preserve">UPDATED from the single-bond ASF proxy (3.40%) to Vinci's own officially disclosed figure: "the average cost of long-term gross financial debt was 4.4% in 2025 (4.9% in 2024)" — Vinci FY2025 Consolidated Financial Statements, p.27 (Note 5). This is a stronger source than a single bond's market yield: it reflects the actual blended cost across Vinci's entire ~EUR 35bn long-term debt book, directly disclosed by the company, dated and audited. The ASF 3.375% 2034 bond (row 202-204 above) is kept as a supporting market cross-check, not the primary input.</t>
        </r>
      </text>
    </comment>
    <comment ref="E7" authorId="0">
      <text>
        <r>
          <rPr>
            <sz val="10"/>
            <rFont val="Arial"/>
            <family val="2"/>
          </rPr>
          <t xml:space="preserve">FY2023 data as provided by user (Vinci FY2023 Income Statement).</t>
        </r>
      </text>
    </comment>
    <comment ref="E8" authorId="0">
      <text>
        <r>
          <rPr>
            <sz val="10"/>
            <rFont val="Arial"/>
            <family val="2"/>
          </rPr>
          <t xml:space="preserve">FY2023 data as provided by user (Vinci FY2023 Income Statement).</t>
        </r>
      </text>
    </comment>
    <comment ref="E9" authorId="0">
      <text>
        <r>
          <rPr>
            <sz val="10"/>
            <rFont val="Arial"/>
            <family val="2"/>
          </rPr>
          <t xml:space="preserve">FY2023 data as provided by user (Vinci FY2023 Income Statement).</t>
        </r>
      </text>
    </comment>
    <comment ref="E12" authorId="0">
      <text>
        <r>
          <rPr>
            <sz val="10"/>
            <rFont val="Arial"/>
            <family val="2"/>
          </rPr>
          <t xml:space="preserve">FY2023 data as provided by user (Vinci FY2023 Income Statement).</t>
        </r>
      </text>
    </comment>
    <comment ref="E13" authorId="0">
      <text>
        <r>
          <rPr>
            <sz val="10"/>
            <rFont val="Arial"/>
            <family val="2"/>
          </rPr>
          <t xml:space="preserve">FY2023 data as provided by user (Vinci FY2023 Income Statement).</t>
        </r>
      </text>
    </comment>
    <comment ref="E14" authorId="0">
      <text>
        <r>
          <rPr>
            <sz val="10"/>
            <rFont val="Arial"/>
            <family val="2"/>
          </rPr>
          <t xml:space="preserve">FY2023 data as provided by user (Vinci FY2023 Income Statement).</t>
        </r>
      </text>
    </comment>
    <comment ref="E18" authorId="0">
      <text>
        <r>
          <rPr>
            <sz val="10"/>
            <rFont val="Arial"/>
            <family val="2"/>
          </rPr>
          <t xml:space="preserve">FY2023 data as provided by user (Vinci FY2023 Income Statement).</t>
        </r>
      </text>
    </comment>
    <comment ref="E19" authorId="0">
      <text>
        <r>
          <rPr>
            <sz val="10"/>
            <rFont val="Arial"/>
            <family val="2"/>
          </rPr>
          <t xml:space="preserve">FY2023 data as provided by user (Vinci FY2023 Income Statement).</t>
        </r>
      </text>
    </comment>
    <comment ref="E20" authorId="0">
      <text>
        <r>
          <rPr>
            <sz val="10"/>
            <rFont val="Arial"/>
            <family val="2"/>
          </rPr>
          <t xml:space="preserve">FY2023 data as provided by user (Vinci FY2023 Income Statement).</t>
        </r>
      </text>
    </comment>
    <comment ref="E21" authorId="0">
      <text>
        <r>
          <rPr>
            <sz val="10"/>
            <rFont val="Arial"/>
            <family val="2"/>
          </rPr>
          <t xml:space="preserve">FY2023 data as provided by user (Vinci FY2023 Income Statement).</t>
        </r>
      </text>
    </comment>
    <comment ref="E22" authorId="0">
      <text>
        <r>
          <rPr>
            <sz val="10"/>
            <rFont val="Arial"/>
            <family val="2"/>
          </rPr>
          <t xml:space="preserve">FY2023 data as provided by user (Vinci FY2023 Income Statement).</t>
        </r>
      </text>
    </comment>
    <comment ref="E23" authorId="0">
      <text>
        <r>
          <rPr>
            <sz val="10"/>
            <rFont val="Arial"/>
            <family val="2"/>
          </rPr>
          <t xml:space="preserve">FY2023 data as provided by user (Vinci FY2023 Income Statement).</t>
        </r>
      </text>
    </comment>
    <comment ref="E25" authorId="0">
      <text>
        <r>
          <rPr>
            <sz val="10"/>
            <rFont val="Arial"/>
            <family val="2"/>
          </rPr>
          <t xml:space="preserve">FY2023 data as provided by user (Vinci FY2023 Income Statement).</t>
        </r>
      </text>
    </comment>
    <comment ref="E26" authorId="0">
      <text>
        <r>
          <rPr>
            <sz val="10"/>
            <rFont val="Arial"/>
            <family val="2"/>
          </rPr>
          <t xml:space="preserve">FY2023 data as provided by user (Vinci FY2023 Income Statement).</t>
        </r>
      </text>
    </comment>
    <comment ref="E27" authorId="0">
      <text>
        <r>
          <rPr>
            <sz val="10"/>
            <rFont val="Arial"/>
            <family val="2"/>
          </rPr>
          <t xml:space="preserve">FY2023 data as provided by user (Vinci FY2023 Income Statement).</t>
        </r>
      </text>
    </comment>
    <comment ref="E28" authorId="0">
      <text>
        <r>
          <rPr>
            <sz val="10"/>
            <rFont val="Arial"/>
            <family val="2"/>
          </rPr>
          <t xml:space="preserve">FY2023 data as provided by user (Vinci FY2023 Income Statement).</t>
        </r>
      </text>
    </comment>
    <comment ref="E30" authorId="0">
      <text>
        <r>
          <rPr>
            <sz val="10"/>
            <rFont val="Arial"/>
            <family val="2"/>
          </rPr>
          <t xml:space="preserve">FY2023 data as provided by user (Vinci FY2023 Income Statement).</t>
        </r>
      </text>
    </comment>
    <comment ref="E32" authorId="0">
      <text>
        <r>
          <rPr>
            <sz val="10"/>
            <rFont val="Arial"/>
            <family val="2"/>
          </rPr>
          <t xml:space="preserve">FY2023 data as provided by user (Vinci FY2023 Income Statement).</t>
        </r>
      </text>
    </comment>
    <comment ref="E33" authorId="0">
      <text>
        <r>
          <rPr>
            <sz val="10"/>
            <rFont val="Arial"/>
            <family val="2"/>
          </rPr>
          <t xml:space="preserve">FY2023 data as provided by user (Vinci FY2023 Income Statement).</t>
        </r>
      </text>
    </comment>
    <comment ref="E34" authorId="0">
      <text>
        <r>
          <rPr>
            <sz val="10"/>
            <rFont val="Arial"/>
            <family val="2"/>
          </rPr>
          <t xml:space="preserve">FY2023 data as provided by user (Vinci FY2023 Income Statement).</t>
        </r>
      </text>
    </comment>
    <comment ref="E36" authorId="0">
      <text>
        <r>
          <rPr>
            <sz val="10"/>
            <rFont val="Arial"/>
            <family val="2"/>
          </rPr>
          <t xml:space="preserve">FY2023 data as provided by user (Vinci FY2023 Income Statement). Sign flipped to positive magnitude to match this row's convention (source gave -3,799).</t>
        </r>
      </text>
    </comment>
    <comment ref="E42" authorId="0">
      <text>
        <r>
          <rPr>
            <sz val="10"/>
            <rFont val="Arial"/>
            <family val="2"/>
          </rPr>
          <t xml:space="preserve">FY2023 data as provided by user (Vinci FY2023 Income Statement).</t>
        </r>
      </text>
    </comment>
    <comment ref="E43" authorId="0">
      <text>
        <r>
          <rPr>
            <sz val="10"/>
            <rFont val="Arial"/>
            <family val="2"/>
          </rPr>
          <t xml:space="preserve">FY2023 data as provided by user (Vinci FY2023 Income Statement).</t>
        </r>
      </text>
    </comment>
    <comment ref="E59" authorId="0">
      <text>
        <r>
          <rPr>
            <sz val="10"/>
            <rFont val="Arial"/>
            <family val="2"/>
          </rPr>
          <t xml:space="preserve">FY2023 data as provided by user (Vinci FY2023 Balance Sheet, 31-Dec-2023).</t>
        </r>
      </text>
    </comment>
    <comment ref="E60" authorId="0">
      <text>
        <r>
          <rPr>
            <sz val="10"/>
            <rFont val="Arial"/>
            <family val="2"/>
          </rPr>
          <t xml:space="preserve">FY2023 data as provided by user (Vinci FY2023 Balance Sheet, 31-Dec-2023).</t>
        </r>
      </text>
    </comment>
    <comment ref="E61" authorId="0">
      <text>
        <r>
          <rPr>
            <sz val="10"/>
            <rFont val="Arial"/>
            <family val="2"/>
          </rPr>
          <t xml:space="preserve">FY2023 data as provided by user (Vinci FY2023 Balance Sheet, 31-Dec-2023).</t>
        </r>
      </text>
    </comment>
    <comment ref="E62" authorId="0">
      <text>
        <r>
          <rPr>
            <sz val="10"/>
            <rFont val="Arial"/>
            <family val="2"/>
          </rPr>
          <t xml:space="preserve">FY2023 data as provided by user (Vinci FY2023 Balance Sheet, 31-Dec-2023).</t>
        </r>
      </text>
    </comment>
    <comment ref="E63" authorId="0">
      <text>
        <r>
          <rPr>
            <sz val="10"/>
            <rFont val="Arial"/>
            <family val="2"/>
          </rPr>
          <t xml:space="preserve">FY2023 data as provided by user (Vinci FY2023 Balance Sheet, 31-Dec-2023).</t>
        </r>
      </text>
    </comment>
    <comment ref="E64" authorId="0">
      <text>
        <r>
          <rPr>
            <sz val="10"/>
            <rFont val="Arial"/>
            <family val="2"/>
          </rPr>
          <t xml:space="preserve">FY2023 data as provided by user (Vinci FY2023 Balance Sheet, 31-Dec-2023).</t>
        </r>
      </text>
    </comment>
    <comment ref="E65" authorId="0">
      <text>
        <r>
          <rPr>
            <sz val="10"/>
            <rFont val="Arial"/>
            <family val="2"/>
          </rPr>
          <t xml:space="preserve">FY2023 data as provided by user (Vinci FY2023 Balance Sheet, 31-Dec-2023).</t>
        </r>
      </text>
    </comment>
    <comment ref="E66" authorId="0">
      <text>
        <r>
          <rPr>
            <sz val="10"/>
            <rFont val="Arial"/>
            <family val="2"/>
          </rPr>
          <t xml:space="preserve">FY2023 data as provided by user (Vinci FY2023 Balance Sheet, 31-Dec-2023).</t>
        </r>
      </text>
    </comment>
    <comment ref="E70" authorId="0">
      <text>
        <r>
          <rPr>
            <sz val="10"/>
            <rFont val="Arial"/>
            <family val="2"/>
          </rPr>
          <t xml:space="preserve">FY2023 data as provided by user (Vinci FY2023 Balance Sheet, 31-Dec-2023).</t>
        </r>
      </text>
    </comment>
    <comment ref="E71" authorId="0">
      <text>
        <r>
          <rPr>
            <sz val="10"/>
            <rFont val="Arial"/>
            <family val="2"/>
          </rPr>
          <t xml:space="preserve">FY2023 data as provided by user (Vinci FY2023 Balance Sheet, 31-Dec-2023).</t>
        </r>
      </text>
    </comment>
    <comment ref="E72" authorId="0">
      <text>
        <r>
          <rPr>
            <sz val="10"/>
            <rFont val="Arial"/>
            <family val="2"/>
          </rPr>
          <t xml:space="preserve">FY2023 data as provided by user (Vinci FY2023 Balance Sheet, 31-Dec-2023).</t>
        </r>
      </text>
    </comment>
    <comment ref="E73" authorId="0">
      <text>
        <r>
          <rPr>
            <sz val="10"/>
            <rFont val="Arial"/>
            <family val="2"/>
          </rPr>
          <t xml:space="preserve">FY2023 data as provided by user (Vinci FY2023 Balance Sheet, 31-Dec-2023).</t>
        </r>
      </text>
    </comment>
    <comment ref="E74" authorId="0">
      <text>
        <r>
          <rPr>
            <sz val="10"/>
            <rFont val="Arial"/>
            <family val="2"/>
          </rPr>
          <t xml:space="preserve">FY2023 data as provided by user (Vinci FY2023 Balance Sheet, 31-Dec-2023).</t>
        </r>
      </text>
    </comment>
    <comment ref="E75" authorId="0">
      <text>
        <r>
          <rPr>
            <sz val="10"/>
            <rFont val="Arial"/>
            <family val="2"/>
          </rPr>
          <t xml:space="preserve">FY2023 data as provided by user (Vinci FY2023 Balance Sheet, 31-Dec-2023).</t>
        </r>
      </text>
    </comment>
    <comment ref="E76" authorId="0">
      <text>
        <r>
          <rPr>
            <sz val="10"/>
            <rFont val="Arial"/>
            <family val="2"/>
          </rPr>
          <t xml:space="preserve">FY2023 data as provided by user (Vinci FY2023 Balance Sheet, 31-Dec-2023).</t>
        </r>
      </text>
    </comment>
    <comment ref="E77" authorId="0">
      <text>
        <r>
          <rPr>
            <sz val="10"/>
            <rFont val="Arial"/>
            <family val="2"/>
          </rPr>
          <t xml:space="preserve">FY2023 data as provided by user (Vinci FY2023 Balance Sheet, 31-Dec-2023).</t>
        </r>
      </text>
    </comment>
    <comment ref="E79" authorId="0">
      <text>
        <r>
          <rPr>
            <sz val="10"/>
            <rFont val="Arial"/>
            <family val="2"/>
          </rPr>
          <t xml:space="preserve">FY2023 data as provided by user (Vinci FY2023 Balance Sheet, 31-Dec-2023).</t>
        </r>
      </text>
    </comment>
    <comment ref="E83" authorId="0">
      <text>
        <r>
          <rPr>
            <sz val="10"/>
            <rFont val="Arial"/>
            <family val="2"/>
          </rPr>
          <t xml:space="preserve">FY2023 data as provided by user (Vinci FY2023 Balance Sheet, 31-Dec-2023).</t>
        </r>
      </text>
    </comment>
    <comment ref="E84" authorId="0">
      <text>
        <r>
          <rPr>
            <sz val="10"/>
            <rFont val="Arial"/>
            <family val="2"/>
          </rPr>
          <t xml:space="preserve">FY2023 data as provided by user (Vinci FY2023 Balance Sheet, 31-Dec-2023).</t>
        </r>
      </text>
    </comment>
    <comment ref="E85" authorId="0">
      <text>
        <r>
          <rPr>
            <sz val="10"/>
            <rFont val="Arial"/>
            <family val="2"/>
          </rPr>
          <t xml:space="preserve">FY2023 data as provided by user (Vinci FY2023 Balance Sheet, 31-Dec-2023).</t>
        </r>
      </text>
    </comment>
    <comment ref="E86" authorId="0">
      <text>
        <r>
          <rPr>
            <sz val="10"/>
            <rFont val="Arial"/>
            <family val="2"/>
          </rPr>
          <t xml:space="preserve">FY2023 data as provided by user (Vinci FY2023 Balance Sheet, 31-Dec-2023).</t>
        </r>
      </text>
    </comment>
    <comment ref="E87" authorId="0">
      <text>
        <r>
          <rPr>
            <sz val="10"/>
            <rFont val="Arial"/>
            <family val="2"/>
          </rPr>
          <t xml:space="preserve">FY2023 data as provided by user (Vinci FY2023 Balance Sheet, 31-Dec-2023).</t>
        </r>
      </text>
    </comment>
    <comment ref="E88" authorId="0">
      <text>
        <r>
          <rPr>
            <sz val="10"/>
            <rFont val="Arial"/>
            <family val="2"/>
          </rPr>
          <t xml:space="preserve">FY2023 data as provided by user (Vinci FY2023 Balance Sheet, 31-Dec-2023).</t>
        </r>
      </text>
    </comment>
    <comment ref="E89" authorId="0">
      <text>
        <r>
          <rPr>
            <sz val="10"/>
            <rFont val="Arial"/>
            <family val="2"/>
          </rPr>
          <t xml:space="preserve">FY2023 data as provided by user (Vinci FY2023 Balance Sheet, 31-Dec-2023).</t>
        </r>
      </text>
    </comment>
    <comment ref="E91" authorId="0">
      <text>
        <r>
          <rPr>
            <sz val="10"/>
            <rFont val="Arial"/>
            <family val="2"/>
          </rPr>
          <t xml:space="preserve">FY2023 data as provided by user (Vinci FY2023 Balance Sheet, 31-Dec-2023).</t>
        </r>
      </text>
    </comment>
    <comment ref="E95" authorId="0">
      <text>
        <r>
          <rPr>
            <sz val="10"/>
            <rFont val="Arial"/>
            <family val="2"/>
          </rPr>
          <t xml:space="preserve">FY2023 data as provided by user (Vinci FY2023 Balance Sheet, 31-Dec-2023).</t>
        </r>
      </text>
    </comment>
    <comment ref="E96" authorId="0">
      <text>
        <r>
          <rPr>
            <sz val="10"/>
            <rFont val="Arial"/>
            <family val="2"/>
          </rPr>
          <t xml:space="preserve">FY2023 data as provided by user (Vinci FY2023 Balance Sheet, 31-Dec-2023).</t>
        </r>
      </text>
    </comment>
    <comment ref="E97" authorId="0">
      <text>
        <r>
          <rPr>
            <sz val="10"/>
            <rFont val="Arial"/>
            <family val="2"/>
          </rPr>
          <t xml:space="preserve">FY2023 data as provided by user (Vinci FY2023 Balance Sheet, 31-Dec-2023).</t>
        </r>
      </text>
    </comment>
    <comment ref="E98" authorId="0">
      <text>
        <r>
          <rPr>
            <sz val="10"/>
            <rFont val="Arial"/>
            <family val="2"/>
          </rPr>
          <t xml:space="preserve">FY2023 data as provided by user (Vinci FY2023 Balance Sheet, 31-Dec-2023).</t>
        </r>
      </text>
    </comment>
    <comment ref="E99" authorId="0">
      <text>
        <r>
          <rPr>
            <sz val="10"/>
            <rFont val="Arial"/>
            <family val="2"/>
          </rPr>
          <t xml:space="preserve">FY2023 data as provided by user (Vinci FY2023 Balance Sheet, 31-Dec-2023).</t>
        </r>
      </text>
    </comment>
    <comment ref="E100" authorId="0">
      <text>
        <r>
          <rPr>
            <sz val="10"/>
            <rFont val="Arial"/>
            <family val="2"/>
          </rPr>
          <t xml:space="preserve">FY2023 data as provided by user (Vinci FY2023 Balance Sheet, 31-Dec-2023).</t>
        </r>
      </text>
    </comment>
    <comment ref="E101" authorId="0">
      <text>
        <r>
          <rPr>
            <sz val="10"/>
            <rFont val="Arial"/>
            <family val="2"/>
          </rPr>
          <t xml:space="preserve">FY2023 data as provided by user (Vinci FY2023 Balance Sheet, 31-Dec-2023).</t>
        </r>
      </text>
    </comment>
    <comment ref="E102" authorId="0">
      <text>
        <r>
          <rPr>
            <sz val="10"/>
            <rFont val="Arial"/>
            <family val="2"/>
          </rPr>
          <t xml:space="preserve">FY2023 data as provided by user (Vinci FY2023 Balance Sheet, 31-Dec-2023).</t>
        </r>
      </text>
    </comment>
    <comment ref="E106" authorId="0">
      <text>
        <r>
          <rPr>
            <sz val="10"/>
            <rFont val="Arial"/>
            <family val="2"/>
          </rPr>
          <t xml:space="preserve">FY2023 data as provided by user (Vinci FY2023 Balance Sheet, 31-Dec-2023).</t>
        </r>
      </text>
    </comment>
    <comment ref="E107" authorId="0">
      <text>
        <r>
          <rPr>
            <sz val="10"/>
            <rFont val="Arial"/>
            <family val="2"/>
          </rPr>
          <t xml:space="preserve">FY2023 data as provided by user (Vinci FY2023 Balance Sheet, 31-Dec-2023).</t>
        </r>
      </text>
    </comment>
    <comment ref="E108" authorId="0">
      <text>
        <r>
          <rPr>
            <sz val="10"/>
            <rFont val="Arial"/>
            <family val="2"/>
          </rPr>
          <t xml:space="preserve">FY2023 data as provided by user (Vinci FY2023 Balance Sheet, 31-Dec-2023).</t>
        </r>
      </text>
    </comment>
    <comment ref="E109" authorId="0">
      <text>
        <r>
          <rPr>
            <sz val="10"/>
            <rFont val="Arial"/>
            <family val="2"/>
          </rPr>
          <t xml:space="preserve">FY2023 data as provided by user (Vinci FY2023 Balance Sheet, 31-Dec-2023).</t>
        </r>
      </text>
    </comment>
    <comment ref="E110" authorId="0">
      <text>
        <r>
          <rPr>
            <sz val="10"/>
            <rFont val="Arial"/>
            <family val="2"/>
          </rPr>
          <t xml:space="preserve">FY2023 data as provided by user (Vinci FY2023 Balance Sheet, 31-Dec-2023).</t>
        </r>
      </text>
    </comment>
    <comment ref="E111" authorId="0">
      <text>
        <r>
          <rPr>
            <sz val="10"/>
            <rFont val="Arial"/>
            <family val="2"/>
          </rPr>
          <t xml:space="preserve">FY2023 data as provided by user (Vinci FY2023 Balance Sheet, 31-Dec-2023).</t>
        </r>
      </text>
    </comment>
    <comment ref="E112" authorId="0">
      <text>
        <r>
          <rPr>
            <sz val="10"/>
            <rFont val="Arial"/>
            <family val="2"/>
          </rPr>
          <t xml:space="preserve">FY2023 data as provided by user (Vinci FY2023 Balance Sheet, 31-Dec-2023).</t>
        </r>
      </text>
    </comment>
    <comment ref="E114" authorId="0">
      <text>
        <r>
          <rPr>
            <sz val="10"/>
            <rFont val="Arial"/>
            <family val="2"/>
          </rPr>
          <t xml:space="preserve">FY2023 data as provided by user (Vinci FY2023 Balance Sheet, 31-Dec-2023).</t>
        </r>
      </text>
    </comment>
    <comment ref="E122" authorId="0">
      <text>
        <r>
          <rPr>
            <sz val="10"/>
            <rFont val="Arial"/>
            <family val="2"/>
          </rPr>
          <t xml:space="preserve">FY2023 data as provided by user (Vinci FY2023 Cash Flow Statement).</t>
        </r>
      </text>
    </comment>
    <comment ref="E123" authorId="0">
      <text>
        <r>
          <rPr>
            <sz val="10"/>
            <rFont val="Arial"/>
            <family val="2"/>
          </rPr>
          <t xml:space="preserve">FY2023 data as provided by user (Vinci FY2023 Cash Flow Statement).</t>
        </r>
      </text>
    </comment>
    <comment ref="E124" authorId="0">
      <text>
        <r>
          <rPr>
            <sz val="10"/>
            <rFont val="Arial"/>
            <family val="2"/>
          </rPr>
          <t xml:space="preserve">FY2023 data as provided by user (Vinci FY2023 Cash Flow Statement).</t>
        </r>
      </text>
    </comment>
    <comment ref="E125" authorId="0">
      <text>
        <r>
          <rPr>
            <sz val="10"/>
            <rFont val="Arial"/>
            <family val="2"/>
          </rPr>
          <t xml:space="preserve">FY2023 data as provided by user (Vinci FY2023 Cash Flow Statement).</t>
        </r>
      </text>
    </comment>
    <comment ref="E126" authorId="0">
      <text>
        <r>
          <rPr>
            <sz val="10"/>
            <rFont val="Arial"/>
            <family val="2"/>
          </rPr>
          <t xml:space="preserve">FY2023 data as provided by user (Vinci FY2023 Cash Flow Statement).</t>
        </r>
      </text>
    </comment>
    <comment ref="E127" authorId="0">
      <text>
        <r>
          <rPr>
            <sz val="10"/>
            <rFont val="Arial"/>
            <family val="2"/>
          </rPr>
          <t xml:space="preserve">FY2023 data as provided by user (Vinci FY2023 Cash Flow Statement).</t>
        </r>
      </text>
    </comment>
    <comment ref="E128" authorId="0">
      <text>
        <r>
          <rPr>
            <sz val="10"/>
            <rFont val="Arial"/>
            <family val="2"/>
          </rPr>
          <t xml:space="preserve">FY2023 data as provided by user (Vinci FY2023 Cash Flow Statement).</t>
        </r>
      </text>
    </comment>
    <comment ref="E129" authorId="0">
      <text>
        <r>
          <rPr>
            <sz val="10"/>
            <rFont val="Arial"/>
            <family val="2"/>
          </rPr>
          <t xml:space="preserve">FY2023 data as provided by user (Vinci FY2023 Cash Flow Statement).</t>
        </r>
      </text>
    </comment>
    <comment ref="E130" authorId="0">
      <text>
        <r>
          <rPr>
            <sz val="10"/>
            <rFont val="Arial"/>
            <family val="2"/>
          </rPr>
          <t xml:space="preserve">FY2023 data as provided by user (Vinci FY2023 Cash Flow Statement).</t>
        </r>
      </text>
    </comment>
    <comment ref="E131" authorId="0">
      <text>
        <r>
          <rPr>
            <sz val="10"/>
            <rFont val="Arial"/>
            <family val="2"/>
          </rPr>
          <t xml:space="preserve">FY2023 data as provided by user (Vinci FY2023 Cash Flow Statement).</t>
        </r>
      </text>
    </comment>
    <comment ref="E132" authorId="0">
      <text>
        <r>
          <rPr>
            <sz val="10"/>
            <rFont val="Arial"/>
            <family val="2"/>
          </rPr>
          <t xml:space="preserve">FY2023 data as provided by user (Vinci FY2023 Cash Flow Statement).</t>
        </r>
      </text>
    </comment>
    <comment ref="E134" authorId="0">
      <text>
        <r>
          <rPr>
            <sz val="10"/>
            <rFont val="Arial"/>
            <family val="2"/>
          </rPr>
          <t xml:space="preserve">FY2023 data as provided by user (Vinci FY2023 Cash Flow Statement).</t>
        </r>
      </text>
    </comment>
    <comment ref="E135" authorId="0">
      <text>
        <r>
          <rPr>
            <sz val="10"/>
            <rFont val="Arial"/>
            <family val="2"/>
          </rPr>
          <t xml:space="preserve">FY2023 data as provided by user (Vinci FY2023 Cash Flow Statement).</t>
        </r>
      </text>
    </comment>
    <comment ref="E136" authorId="0">
      <text>
        <r>
          <rPr>
            <sz val="10"/>
            <rFont val="Arial"/>
            <family val="2"/>
          </rPr>
          <t xml:space="preserve">FY2023 data as provided by user (Vinci FY2023 Cash Flow Statement).</t>
        </r>
      </text>
    </comment>
    <comment ref="E137" authorId="0">
      <text>
        <r>
          <rPr>
            <sz val="10"/>
            <rFont val="Arial"/>
            <family val="2"/>
          </rPr>
          <t xml:space="preserve">FY2023 data as provided by user (Vinci FY2023 Cash Flow Statement).</t>
        </r>
      </text>
    </comment>
    <comment ref="E138" authorId="0">
      <text>
        <r>
          <rPr>
            <sz val="10"/>
            <rFont val="Arial"/>
            <family val="2"/>
          </rPr>
          <t xml:space="preserve">FY2023 data as provided by user (Vinci FY2023 Cash Flow Statement).</t>
        </r>
      </text>
    </comment>
    <comment ref="E139" authorId="0">
      <text>
        <r>
          <rPr>
            <sz val="10"/>
            <rFont val="Arial"/>
            <family val="2"/>
          </rPr>
          <t xml:space="preserve">FY2023 data as provided by user (Vinci FY2023 Cash Flow Statement). Reported subtotal (hardcode).</t>
        </r>
      </text>
    </comment>
    <comment ref="E143" authorId="0">
      <text>
        <r>
          <rPr>
            <sz val="10"/>
            <rFont val="Arial"/>
            <family val="2"/>
          </rPr>
          <t xml:space="preserve">FY2023 data as provided by user (Vinci FY2023 Cash Flow Statement).</t>
        </r>
      </text>
    </comment>
    <comment ref="E144" authorId="0">
      <text>
        <r>
          <rPr>
            <sz val="10"/>
            <rFont val="Arial"/>
            <family val="2"/>
          </rPr>
          <t xml:space="preserve">FY2023 data as provided by user (Vinci FY2023 Cash Flow Statement).</t>
        </r>
      </text>
    </comment>
    <comment ref="E146" authorId="0">
      <text>
        <r>
          <rPr>
            <sz val="10"/>
            <rFont val="Arial"/>
            <family val="2"/>
          </rPr>
          <t xml:space="preserve">FY2023 data as provided by user (Vinci FY2023 Cash Flow Statement).</t>
        </r>
      </text>
    </comment>
    <comment ref="E147" authorId="0">
      <text>
        <r>
          <rPr>
            <sz val="10"/>
            <rFont val="Arial"/>
            <family val="2"/>
          </rPr>
          <t xml:space="preserve">FY2023 data as provided by user (Vinci FY2023 Cash Flow Statement).</t>
        </r>
      </text>
    </comment>
    <comment ref="E150" authorId="0">
      <text>
        <r>
          <rPr>
            <sz val="10"/>
            <rFont val="Arial"/>
            <family val="2"/>
          </rPr>
          <t xml:space="preserve">FY2023 data as provided by user (Vinci FY2023 Cash Flow Statement).</t>
        </r>
      </text>
    </comment>
    <comment ref="E151" authorId="0">
      <text>
        <r>
          <rPr>
            <sz val="10"/>
            <rFont val="Arial"/>
            <family val="2"/>
          </rPr>
          <t xml:space="preserve">FY2023 data as provided by user (Vinci FY2023 Cash Flow Statement).</t>
        </r>
      </text>
    </comment>
    <comment ref="E152" authorId="0">
      <text>
        <r>
          <rPr>
            <sz val="10"/>
            <rFont val="Arial"/>
            <family val="2"/>
          </rPr>
          <t xml:space="preserve">FY2023 data as provided by user (Vinci FY2023 Cash Flow Statement).</t>
        </r>
      </text>
    </comment>
    <comment ref="E154" authorId="0">
      <text>
        <r>
          <rPr>
            <sz val="10"/>
            <rFont val="Arial"/>
            <family val="2"/>
          </rPr>
          <t xml:space="preserve">FY2023 data as provided by user (Vinci FY2023 Cash Flow Statement).</t>
        </r>
      </text>
    </comment>
    <comment ref="E155" authorId="0">
      <text>
        <r>
          <rPr>
            <sz val="10"/>
            <rFont val="Arial"/>
            <family val="2"/>
          </rPr>
          <t xml:space="preserve">FY2023 data as provided by user (Vinci FY2023 Cash Flow Statement). Reported subtotal (hardcode).</t>
        </r>
      </text>
    </comment>
    <comment ref="E159" authorId="0">
      <text>
        <r>
          <rPr>
            <sz val="10"/>
            <rFont val="Arial"/>
            <family val="2"/>
          </rPr>
          <t xml:space="preserve">FY2023 data as provided by user (Vinci FY2023 Cash Flow Statement).</t>
        </r>
      </text>
    </comment>
    <comment ref="E160" authorId="0">
      <text>
        <r>
          <rPr>
            <sz val="10"/>
            <rFont val="Arial"/>
            <family val="2"/>
          </rPr>
          <t xml:space="preserve">FY2023 data as provided by user (Vinci FY2023 Cash Flow Statement).</t>
        </r>
      </text>
    </comment>
    <comment ref="E161" authorId="0">
      <text>
        <r>
          <rPr>
            <sz val="10"/>
            <rFont val="Arial"/>
            <family val="2"/>
          </rPr>
          <t xml:space="preserve">FY2023 data as provided by user (Vinci FY2023 Cash Flow Statement).</t>
        </r>
      </text>
    </comment>
    <comment ref="E162" authorId="0">
      <text>
        <r>
          <rPr>
            <sz val="10"/>
            <rFont val="Arial"/>
            <family val="2"/>
          </rPr>
          <t xml:space="preserve">CORRECTED from 0 (not disclosed) to -1. Source: Vinci 2024 Universal Registration Document, comparative FY2023 column: "Acquisitions/disposals of non-controlling interests (without acquisition or loss of control)" = EUR (1)m. Same URD confirms FY2024 = EUR (77)m, matching the value already used in column D.</t>
        </r>
      </text>
    </comment>
    <comment ref="E163" authorId="0">
      <text>
        <r>
          <rPr>
            <sz val="10"/>
            <rFont val="Arial"/>
            <family val="2"/>
          </rPr>
          <t xml:space="preserve">FY2023 data as provided by user (Vinci FY2023 Cash Flow Statement).</t>
        </r>
      </text>
    </comment>
    <comment ref="E164" authorId="0">
      <text>
        <r>
          <rPr>
            <sz val="10"/>
            <rFont val="Arial"/>
            <family val="2"/>
          </rPr>
          <t xml:space="preserve">FY2023 data as provided by user (Vinci FY2023 Cash Flow Statement).</t>
        </r>
      </text>
    </comment>
    <comment ref="E165" authorId="0">
      <text>
        <r>
          <rPr>
            <sz val="10"/>
            <rFont val="Arial"/>
            <family val="2"/>
          </rPr>
          <t xml:space="preserve">FY2023 data as provided by user (Vinci FY2023 Cash Flow Statement).</t>
        </r>
      </text>
    </comment>
    <comment ref="E166" authorId="0">
      <text>
        <r>
          <rPr>
            <sz val="10"/>
            <rFont val="Arial"/>
            <family val="2"/>
          </rPr>
          <t xml:space="preserve">FY2023 data as provided by user (Vinci FY2023 Cash Flow Statement).</t>
        </r>
      </text>
    </comment>
    <comment ref="E167" authorId="0">
      <text>
        <r>
          <rPr>
            <sz val="10"/>
            <rFont val="Arial"/>
            <family val="2"/>
          </rPr>
          <t xml:space="preserve">FY2023 data as provided by user (Vinci FY2023 Cash Flow Statement).</t>
        </r>
      </text>
    </comment>
    <comment ref="E168" authorId="0">
      <text>
        <r>
          <rPr>
            <sz val="10"/>
            <rFont val="Arial"/>
            <family val="2"/>
          </rPr>
          <t xml:space="preserve">FY2023 data as provided by user (Vinci FY2023 Cash Flow Statement).</t>
        </r>
      </text>
    </comment>
    <comment ref="E169" authorId="0">
      <text>
        <r>
          <rPr>
            <sz val="10"/>
            <rFont val="Arial"/>
            <family val="2"/>
          </rPr>
          <t xml:space="preserve">FY2023 data as provided by user (Vinci FY2023 Cash Flow Statement). Reported subtotal (hardcode).</t>
        </r>
      </text>
    </comment>
    <comment ref="E172" authorId="0">
      <text>
        <r>
          <rPr>
            <sz val="10"/>
            <rFont val="Arial"/>
            <family val="2"/>
          </rPr>
          <t xml:space="preserve">FY2023 data as provided by user (Vinci FY2023 Cash Flow Statement).</t>
        </r>
      </text>
    </comment>
    <comment ref="E174" authorId="0">
      <text>
        <r>
          <rPr>
            <sz val="10"/>
            <rFont val="Arial"/>
            <family val="2"/>
          </rPr>
          <t xml:space="preserve">FY2023 data as provided by user (Vinci FY2023 Cash Flow Statement).</t>
        </r>
      </text>
    </comment>
    <comment ref="E175" authorId="0">
      <text>
        <r>
          <rPr>
            <sz val="10"/>
            <rFont val="Arial"/>
            <family val="2"/>
          </rPr>
          <t xml:space="preserve">FY2023 data as provided by user (Vinci FY2023 Cash Flow Statement). Cross-check: ties exactly to FY2024's beginning-of-period cash figure already in column D — strong consistency signal across the two independently-provided datasets.</t>
        </r>
      </text>
    </comment>
    <comment ref="E186" authorId="0">
      <text>
        <r>
          <rPr>
            <sz val="10"/>
            <rFont val="Arial"/>
            <family val="2"/>
          </rPr>
          <t xml:space="preserve">FY2023 dedicated Net Debt note (page reconciliation) was not provided — derived instead from the Balance Sheet as Bonds + Other loans (non-current) + Current borrowings, mirroring the exact relationship validated for FY2024/FY2025 (where this BS-derived figure tied to the note exactly).</t>
        </r>
      </text>
    </comment>
    <comment ref="E190" authorId="0">
      <text>
        <r>
          <rPr>
            <sz val="10"/>
            <rFont val="Arial"/>
            <family val="2"/>
          </rPr>
          <t xml:space="preserve">Vinci FY2024 Universal Registration Document, Note 25 (Net financial debt roll-forward): "Net financial debt at end of period" for FY2023 = EUR (16,126)m. Cross-check: this exactly matches the same document's "Net financial debt at beginning of period" for FY2024 (16,126) — internally consistent roll-forward, confirmed 8-Jul-2026. Note: unlike FY2024/FY2025, the FY2023 gross debt/financial assets/derivatives BREAKDOWN (rows 186-189) was not provided, so only this final net figure is populated — the components above remain blank for FY2023.</t>
        </r>
      </text>
    </comment>
    <comment ref="E191" authorId="0">
      <text>
        <r>
          <rPr>
            <sz val="10"/>
            <rFont val="Arial"/>
            <family val="2"/>
          </rPr>
          <t xml:space="preserve">Not computed: FY2023 net debt requires the note-specific "Total financial assets" and "Net derivatives" figures (page 61-equivalent note), which were not part of the FY2023 dataset provided. Do not use 0 here — that would understate FY2023 net debt. If needed, source the FY2023 Annual Report's net debt reconciliation note directly.</t>
        </r>
      </text>
    </comment>
  </commentList>
</comments>
</file>

<file path=xl/sharedStrings.xml><?xml version="1.0" encoding="utf-8"?>
<sst xmlns="http://schemas.openxmlformats.org/spreadsheetml/2006/main" count="774" uniqueCount="362">
  <si>
    <t xml:space="preserve">Vinci SA — Sum-of-the-parts valuation model (valuation date 30 Jun 2026 · price as of 16 Sep 2026)</t>
  </si>
  <si>
    <t xml:space="preserve">Investment logic</t>
  </si>
  <si>
    <t xml:space="preserve">Vinci is a portfolio of assets with very different economics: French motorway concessions that revert to the State at no cost (Escota 2032, Cofiroute 2034, ASF 2036), long-dated or freehold airports, and going-concern energy and construction businesses.</t>
  </si>
  <si>
    <t xml:space="preserve">A single perpetual DCF cannot capture finite contract lives, so each business is valued separately with the method that fits its legal and economic nature, then aggregated.</t>
  </si>
  <si>
    <t xml:space="preserve">Architecture</t>
  </si>
  <si>
    <t xml:space="preserve">Finite concessions (Autoroutes, OMA, other airports, other concessions): cash flows to contract end, TV = 0 — the same approach Vinci uses in its own impairment tests (FS 2025, Note E).</t>
  </si>
  <si>
    <t xml:space="preserve">Going concerns (freehold Gatwick + Edinburgh, VINCI Energies, Cobra IS, VINCI Construction): explicit forecast + Gordon TV with normalised capex. VINCI Immobilier at book capital employed.</t>
  </si>
  <si>
    <t xml:space="preserve">Each block has its own discount rate. Bridge at 30 Jun 2026: net debt, equity-method investments, net-of-tax pensions, third-party shares of Gatwick/Edinburgh/OMA on implied equity value, other minorities at book. Lease repayments sit inside FCF, so lease liabilities are not deducted.</t>
  </si>
  <si>
    <t xml:space="preserve">Sheets: Inputs → Autoroutes / Airports / Other_Concessions / Energy_Construction → SOTP (valuation, per-share build, checks, sensitivity). Historicals holds the FY2023–25 statements.</t>
  </si>
  <si>
    <t xml:space="preserve">Sources: VINCI FY2025 consolidated financial statements (Notes C.1.2, E, F.12, I.23.5, 29); 2025 Universal Registration Document (portfolio table, revenue by network); Half-year financial report 2026.</t>
  </si>
  <si>
    <t xml:space="preserve">Known limitations</t>
  </si>
  <si>
    <t xml:space="preserve">1) No network-level accounts for ASF/Escota/Cofiroute: segment margins, capex and D&amp;A applied pro rata to revenue. 2) Airport margins are segment averages. 3) "Other airports" and "Other concessions" use one weighted end date each.</t>
  </si>
  <si>
    <t xml:space="preserve">4) NCI for Gatwick/Edinburgh/OMA uses a net-claims proxy (liabilities − current assets) that includes deferred tax. 5) Equity-method stakes (Kansai, Budapest…) at book value — likely conservative.</t>
  </si>
  <si>
    <t xml:space="preserve">6) Discount rates are judgement inputs (yellow) — see SOTP sensitivity. 7) Cobra IS renewables EBITDA from current build-out not modelled explicitly.</t>
  </si>
  <si>
    <t xml:space="preserve">Vinci SA — Sum-of-the-parts valuation (EUR m)</t>
  </si>
  <si>
    <t xml:space="preserve">Block</t>
  </si>
  <si>
    <t xml:space="preserve">Method</t>
  </si>
  <si>
    <t xml:space="preserve">Life / TV</t>
  </si>
  <si>
    <t xml:space="preserve">WACC</t>
  </si>
  <si>
    <t xml:space="preserve">EV (100%)</t>
  </si>
  <si>
    <t xml:space="preserve">% of EV</t>
  </si>
  <si>
    <t xml:space="preserve">EV/EBITDA 26E</t>
  </si>
  <si>
    <t xml:space="preserve">ASF</t>
  </si>
  <si>
    <t xml:space="preserve">Finite-life DCF, TV = 0</t>
  </si>
  <si>
    <t xml:space="preserve">Ends 2036</t>
  </si>
  <si>
    <t xml:space="preserve">Escota</t>
  </si>
  <si>
    <t xml:space="preserve">Ends 2032</t>
  </si>
  <si>
    <t xml:space="preserve">Cofiroute</t>
  </si>
  <si>
    <t xml:space="preserve">Ends 2034</t>
  </si>
  <si>
    <t xml:space="preserve">Arcour, Arcos &amp; A86 Duplex</t>
  </si>
  <si>
    <t xml:space="preserve">Ends 2070 (A86: 2086)</t>
  </si>
  <si>
    <t xml:space="preserve">Gatwick + Edinburgh (freehold, 50.01%)</t>
  </si>
  <si>
    <t xml:space="preserve">DCF to 2035 + Gordon TV (freehold)</t>
  </si>
  <si>
    <t xml:space="preserve">Freehold</t>
  </si>
  <si>
    <t xml:space="preserve">OMA Mexico (to 2048, 29.99%)</t>
  </si>
  <si>
    <t xml:space="preserve">Ends 2048</t>
  </si>
  <si>
    <t xml:space="preserve">Other fully consolidated airports (ANA, Aerodom, Lyon, Belgrade, Brazil…)</t>
  </si>
  <si>
    <t xml:space="preserve">Weighted end ~2058</t>
  </si>
  <si>
    <t xml:space="preserve">Other concessions (VINCI Highways etc.)</t>
  </si>
  <si>
    <t xml:space="preserve">Weighted end ~2050</t>
  </si>
  <si>
    <t xml:space="preserve">VINCI Energies</t>
  </si>
  <si>
    <t xml:space="preserve">5-yr DCF + Gordon TV</t>
  </si>
  <si>
    <t xml:space="preserve">Going concern</t>
  </si>
  <si>
    <t xml:space="preserve">Cobra IS</t>
  </si>
  <si>
    <t xml:space="preserve">VINCI Construction</t>
  </si>
  <si>
    <t xml:space="preserve">VINCI Immobilier</t>
  </si>
  <si>
    <t xml:space="preserve">Book capital employed (1.0x)</t>
  </si>
  <si>
    <t xml:space="preserve">n.a.</t>
  </si>
  <si>
    <t xml:space="preserve">Enterprise value of consolidated businesses</t>
  </si>
  <si>
    <t xml:space="preserve">Plus: equity-method investments (book)</t>
  </si>
  <si>
    <t xml:space="preserve">Less: net financial debt (30 Jun 2026)</t>
  </si>
  <si>
    <t xml:space="preserve">Less: employee-benefit provisions, net of tax</t>
  </si>
  <si>
    <t xml:space="preserve">Less: third-party share of Gatwick + Edinburgh (implied equity)</t>
  </si>
  <si>
    <t xml:space="preserve">Less: third-party share of OMA (implied equity)</t>
  </si>
  <si>
    <t xml:space="preserve">Less: other non-controlling interests (book)</t>
  </si>
  <si>
    <t xml:space="preserve">EQUITY VALUE attributable to Vinci shareholders</t>
  </si>
  <si>
    <t xml:space="preserve">Diluted shares (m) = issued × (1 − treasury %) + performance shares</t>
  </si>
  <si>
    <t xml:space="preserve">IMPLIED VALUE PER SHARE (EUR)</t>
  </si>
  <si>
    <t xml:space="preserve">Current share price (EUR) — see Inputs</t>
  </si>
  <si>
    <t xml:space="preserve">Implied upside / (downside)</t>
  </si>
  <si>
    <t xml:space="preserve">Value per share by block (EUR, before bridge items)</t>
  </si>
  <si>
    <t xml:space="preserve">VINCI Immobilier + bridge items per share</t>
  </si>
  <si>
    <t xml:space="preserve">Total (ties to implied value per share)</t>
  </si>
  <si>
    <t xml:space="preserve">MODEL INTEGRITY CHECKS (a failed check shows REVISAR)</t>
  </si>
  <si>
    <t xml:space="preserve">Segment net debt ties to group net debt</t>
  </si>
  <si>
    <t xml:space="preserve">Every block: WACC &gt; g, no cash flow after concession end</t>
  </si>
  <si>
    <t xml:space="preserve">Per-share build ties to implied value</t>
  </si>
  <si>
    <t xml:space="preserve">Implied value within ±40% of market price (else needs explicit thesis)</t>
  </si>
  <si>
    <t xml:space="preserve">Group EV / FY2026E EBITDA between 6x and 14x</t>
  </si>
  <si>
    <t xml:space="preserve">No finite concession carries a terminal value</t>
  </si>
  <si>
    <t xml:space="preserve">SENSITIVITY — implied value per share (EUR): parallel WACC shift (rows) × terminal-growth shift for going concerns (columns)</t>
  </si>
  <si>
    <t xml:space="preserve">Centre cell (0%, 0%) must equal the implied value per share above.</t>
  </si>
  <si>
    <t xml:space="preserve">Vinci SA — SOTP global inputs (EUR m unless stated)</t>
  </si>
  <si>
    <t xml:space="preserve">Blue = hardcoded input · Black = formula · Green = link to another sheet · Yellow = key judgement / update before use</t>
  </si>
  <si>
    <t xml:space="preserve">Input</t>
  </si>
  <si>
    <t xml:space="preserve">Value</t>
  </si>
  <si>
    <t xml:space="preserve">Source / comment</t>
  </si>
  <si>
    <t xml:space="preserve">Valuation date (= latest balance sheet, H1 2026)</t>
  </si>
  <si>
    <t xml:space="preserve">Vinci Half-year financial report 2026 — balance sheet at 30 Jun 2026</t>
  </si>
  <si>
    <t xml:space="preserve">Share price (EUR), close 16 Sep 2026</t>
  </si>
  <si>
    <t xml:space="preserve">Euronext Paris closing price, 16 Sep 2026 (provided by FCO). Update for later dates.</t>
  </si>
  <si>
    <t xml:space="preserve">Shares issued (m), 30 Jun 2026</t>
  </si>
  <si>
    <t xml:space="preserve">H1 2026 report, sec. 5: 585,891,697 shares</t>
  </si>
  <si>
    <t xml:space="preserve">Treasury shares, % of capital, 30 Jun 2026</t>
  </si>
  <si>
    <t xml:space="preserve">H1 2026 report, sec. 5: 5.4% (4.4% at 31 Dec 2025)</t>
  </si>
  <si>
    <t xml:space="preserve">Unvested performance shares (m)</t>
  </si>
  <si>
    <t xml:space="preserve">FY2025 consolidated FS, share-based payments note: 7,659,540 (treated as fully dilutive)</t>
  </si>
  <si>
    <t xml:space="preserve">Tax rate FY2026 (incl. French exceptional CIT surtax)</t>
  </si>
  <si>
    <t xml:space="preserve">FY2025 ETR 34.8%; 2026 Finance Bill (art. 12) extends the surtax one more year — H1 2026 report, Note on surtax</t>
  </si>
  <si>
    <t xml:space="preserve">Tax rate FY2027+ (French statutory, surtax expired)</t>
  </si>
  <si>
    <t xml:space="preserve">Vinci tax note: theoretical CIT rate 25.83%</t>
  </si>
  <si>
    <t xml:space="preserve">Net financial debt, 30 Jun 2026</t>
  </si>
  <si>
    <t xml:space="preserve">H1 2026 report: €(22,450)m. Includes €152m buy-back liability. Leases excluded (see note below).</t>
  </si>
  <si>
    <t xml:space="preserve">  of which Concessions incl. holdings</t>
  </si>
  <si>
    <t xml:space="preserve">H1 2026 segment note C.1.1 (net surplus / (debt))</t>
  </si>
  <si>
    <t xml:space="preserve">  of which Energy Solutions</t>
  </si>
  <si>
    <t xml:space="preserve">idem</t>
  </si>
  <si>
    <t xml:space="preserve">  of which Construction</t>
  </si>
  <si>
    <t xml:space="preserve">  of which Holding companies</t>
  </si>
  <si>
    <t xml:space="preserve">Investments in equity-method companies (book), 30 Jun 2026</t>
  </si>
  <si>
    <t xml:space="preserve">H1 2026 balance sheet. Kansai 40%, Budapest 20%, Santiago 40%, German A-Modells etc. Carried at book (conservative).</t>
  </si>
  <si>
    <t xml:space="preserve">Provisions for employee benefits (non-current), 31 Dec 2025</t>
  </si>
  <si>
    <t xml:space="preserve">FY2025 consolidated FS, Note 29. Deducted net of tax.</t>
  </si>
  <si>
    <t xml:space="preserve">Non-controlling interests (book), 30 Jun 2026</t>
  </si>
  <si>
    <t xml:space="preserve">H1 2026 balance sheet</t>
  </si>
  <si>
    <t xml:space="preserve">  NCI book — London Gatwick (31 Dec 2025)</t>
  </si>
  <si>
    <t xml:space="preserve">FY2025 FS Note I.23.5</t>
  </si>
  <si>
    <t xml:space="preserve">  NCI book — OMA (31 Dec 2025)</t>
  </si>
  <si>
    <t xml:space="preserve">  NCI book — Edinburgh (31 Dec 2025)</t>
  </si>
  <si>
    <t xml:space="preserve">Gatwick + Edinburgh: non-equity claims (proxy for net debt)</t>
  </si>
  <si>
    <t xml:space="preserve">Note I.23.5: (NCL 7,595 + CL 978 − CA 599) + (2,678 + 191 − 70). Includes deferred tax &amp; provisions → conservative proxy.</t>
  </si>
  <si>
    <t xml:space="preserve">OMA: non-equity claims (proxy for net debt)</t>
  </si>
  <si>
    <t xml:space="preserve">Note I.23.5: NCL 1,278 + CL 352 − CA 299</t>
  </si>
  <si>
    <t xml:space="preserve">Third-party share — Gatwick &amp; Edinburgh</t>
  </si>
  <si>
    <t xml:space="preserve">Note I.23.5</t>
  </si>
  <si>
    <t xml:space="preserve">Third-party share — OMA</t>
  </si>
  <si>
    <t xml:space="preserve">Note I.23.5 (VINCI holds 29.99% incl. all BB shares; full consolidation)</t>
  </si>
  <si>
    <t xml:space="preserve">VINCI Immobilier — value at book capital employed (1.0x)</t>
  </si>
  <si>
    <t xml:space="preserve">FY2025 segment note C.1.2: capital employed 1,108. Property developer: EBITDA 61 &lt; leases 62 and H1 2026 revenue −17% → a DCF gives a meaningless negative value; book used instead.</t>
  </si>
  <si>
    <t xml:space="preserve">Lease treatment: lease repayments are deducted inside each block's free cash flow (post-IFRS 16 "EBITDAaL" logic), so lease liabilities are NOT deducted again in the bridge.</t>
  </si>
  <si>
    <t xml:space="preserve">Check: segment net debt sums to group net debt (±2 rounding)</t>
  </si>
  <si>
    <t xml:space="preserve">Autoroutes — French motorway concessions valued to contract expiry, TV = 0</t>
  </si>
  <si>
    <t xml:space="preserve">Base revenue FY2025 (EUR m)</t>
  </si>
  <si>
    <t xml:space="preserve">ASF network 2,731 km, 100%. Base revenue = FY2025 VINCI Autoroutes revenue by network (URD 2025: ASF 3,929 / Cofiroute 1,684 / Escota 961 / others 159). ASSUMPTION: segment margin (EBITDA 4,784 / revenue 6,733), D&amp;A (1,503), capex (23 operating + 565 growth = 8.7%) and leases (12) applied pro rata to revenue — no network-level accounts available. FY2026 growth −0.7% = H1 2026 revenue trend (traffic −2.9%). FY2027+ 2.1% = Vinci's own average revenue growth over ASF's residual life (impairment note). Capex held at 8.7% to the end as a proxy for hand-back (biens de retour) obligations. WACC 6.5%: low-risk tolled infrastructure (Rf ~3.0%, ERP ~5.0%, beta ~0.75) plus ~50bp for French fiscal/regulatory risk (TELD tax, surtax, tariff risk). End date = 31 Dec of the contract year (FS Note F.12 gives the year only). Contracts revert to the State at no cost → no terminal value.</t>
  </si>
  <si>
    <t xml:space="preserve">Revenue growth FY2026</t>
  </si>
  <si>
    <t xml:space="preserve">Revenue growth FY2027+</t>
  </si>
  <si>
    <t xml:space="preserve">EBITDA margin (CFO before tax &amp; financing / revenue)</t>
  </si>
  <si>
    <t xml:space="preserve">D&amp;A % revenue</t>
  </si>
  <si>
    <t xml:space="preserve">Capex % revenue (operating + growth investments)</t>
  </si>
  <si>
    <t xml:space="preserve">Lease repayments % revenue</t>
  </si>
  <si>
    <t xml:space="preserve">Discount rate (post-tax WACC)</t>
  </si>
  <si>
    <t xml:space="preserve">Type: 1 = finite concession (TV = 0) · 0 = going concern</t>
  </si>
  <si>
    <t xml:space="preserve">Concession end date (finite only)</t>
  </si>
  <si>
    <t xml:space="preserve">Last explicit year (going concern only)</t>
  </si>
  <si>
    <t xml:space="preserve">Terminal growth g (going concern only)</t>
  </si>
  <si>
    <t xml:space="preserve">Terminal capex % revenue (going concern only)</t>
  </si>
  <si>
    <t xml:space="preserve">Fiscal year</t>
  </si>
  <si>
    <t xml:space="preserve">Fraction of year in valuation (after val. date / before concession end)</t>
  </si>
  <si>
    <t xml:space="preserve">Revenue (full-year run-rate)</t>
  </si>
  <si>
    <t xml:space="preserve">EBITDA</t>
  </si>
  <si>
    <t xml:space="preserve">D&amp;A</t>
  </si>
  <si>
    <t xml:space="preserve">EBIT</t>
  </si>
  <si>
    <t xml:space="preserve">Tax rate</t>
  </si>
  <si>
    <t xml:space="preserve">Tax on EBIT</t>
  </si>
  <si>
    <t xml:space="preserve">Capex</t>
  </si>
  <si>
    <t xml:space="preserve">Lease repayments</t>
  </si>
  <si>
    <t xml:space="preserve">Unlevered FCF in valuation window</t>
  </si>
  <si>
    <t xml:space="preserve">Discount period (mid-period, years)</t>
  </si>
  <si>
    <t xml:space="preserve">Discount factor</t>
  </si>
  <si>
    <t xml:space="preserve">PV of UFCF</t>
  </si>
  <si>
    <t xml:space="preserve">Terminal-year normalised FCF (before growth)</t>
  </si>
  <si>
    <t xml:space="preserve">PV of terminal value</t>
  </si>
  <si>
    <t xml:space="preserve">PV of explicit / concession-life cash flows</t>
  </si>
  <si>
    <t xml:space="preserve">ENTERPRISE VALUE — ASF (100%)</t>
  </si>
  <si>
    <t xml:space="preserve">Terminal value as % of block EV</t>
  </si>
  <si>
    <t xml:space="preserve">Implied EV / FY2026E EBITDA</t>
  </si>
  <si>
    <t xml:space="preserve">Terminal FCF base (for sensitivity)</t>
  </si>
  <si>
    <t xml:space="preserve">Terminal discount period (for sensitivity)</t>
  </si>
  <si>
    <t xml:space="preserve">Check: WACC &gt; g and no cash flow after concession end</t>
  </si>
  <si>
    <t xml:space="preserve">Escota 471 km, 99.5% owned (0.5% minority ignored — immaterial). Base revenue = FY2025 VINCI Autoroutes revenue by network (URD 2025: ASF 3,929 / Cofiroute 1,684 / Escota 961 / others 159). ASSUMPTION: segment margin (EBITDA 4,784 / revenue 6,733), D&amp;A (1,503), capex (23 operating + 565 growth = 8.7%) and leases (12) applied pro rata to revenue — no network-level accounts available. FY2026 growth −0.7% = H1 2026 revenue trend (traffic −2.9%). FY2027+ 2.1% = Vinci's own average revenue growth over ASF's residual life (impairment note). Capex held at 8.7% to the end as a proxy for hand-back (biens de retour) obligations. WACC 6.5%: low-risk tolled infrastructure (Rf ~3.0%, ERP ~5.0%, beta ~0.75) plus ~50bp for French fiscal/regulatory risk (TELD tax, surtax, tariff risk). End date = 31 Dec of the contract year (FS Note F.12 gives the year only). Contracts revert to the State at no cost → no terminal value.</t>
  </si>
  <si>
    <t xml:space="preserve">ENTERPRISE VALUE — Escota (100%)</t>
  </si>
  <si>
    <t xml:space="preserve">Cofiroute intercity network 1,100 km, 100%. Tariffs index at 83% of inflation to end of concession (URD). Base revenue = FY2025 VINCI Autoroutes revenue by network (URD 2025: ASF 3,929 / Cofiroute 1,684 / Escota 961 / others 159). ASSUMPTION: segment margin (EBITDA 4,784 / revenue 6,733), D&amp;A (1,503), capex (23 operating + 565 growth = 8.7%) and leases (12) applied pro rata to revenue — no network-level accounts available. FY2026 growth −0.7% = H1 2026 revenue trend (traffic −2.9%). FY2027+ 2.1% = Vinci's own average revenue growth over ASF's residual life (impairment note). Capex held at 8.7% to the end as a proxy for hand-back (biens de retour) obligations. WACC 6.5%: low-risk tolled infrastructure (Rf ~3.0%, ERP ~5.0%, beta ~0.75) plus ~50bp for French fiscal/regulatory risk (TELD tax, surtax, tariff risk). End date = 31 Dec of the contract year (FS Note F.12 gives the year only). Contracts revert to the State at no cost → no terminal value.</t>
  </si>
  <si>
    <t xml:space="preserve">ENTERPRISE VALUE — Cofiroute (100%)</t>
  </si>
  <si>
    <t xml:space="preserve">A19 (2070), A355 (2070), A86 Duplex tunnel (2086, capped at 2070 — conservative). Uses Autoroutes-average margins: these are younger assets with lower margins → likely optimistic on margin, conservative on life. Base revenue = FY2025 VINCI Autoroutes revenue by network (URD 2025: ASF 3,929 / Cofiroute 1,684 / Escota 961 / others 159). ASSUMPTION: segment margin (EBITDA 4,784 / revenue 6,733), D&amp;A (1,503), capex (23 operating + 565 growth = 8.7%) and leases (12) applied pro rata to revenue — no network-level accounts available. FY2026 growth −0.7% = H1 2026 revenue trend (traffic −2.9%). FY2027+ 2.1% = Vinci's own average revenue growth over ASF's residual life (impairment note). Capex held at 8.7% to the end as a proxy for hand-back (biens de retour) obligations. WACC 6.5%: low-risk tolled infrastructure (Rf ~3.0%, ERP ~5.0%, beta ~0.75) plus ~50bp for French fiscal/regulatory risk (TELD tax, surtax, tariff risk). End date = 31 Dec of the contract year (FS Note F.12 gives the year only). Contracts revert to the State at no cost → no terminal value.</t>
  </si>
  <si>
    <t xml:space="preserve">ENTERPRISE VALUE — Arcour, Arcos &amp; A86 Duplex (100%)</t>
  </si>
  <si>
    <t xml:space="preserve">Airports — airports by ownership regime</t>
  </si>
  <si>
    <t xml:space="preserve">Revenue FY2025: Gatwick 1,321 + Edinburgh 419 (Note I.23.5). ASSUMPTION: VINCI Airports segment margin 63.4%, D&amp;A 11.7%, capex 13.3% (375 operating + 263 growth), leases 0.5% applied. Explicit to 2035 (covers Gatwick northern-runway capex cycle), then Gordon with g 2.0% and normalised capex 6%. Owned outright → a terminal value is legitimate. Consolidated at 100%; the 49.99% third-party share is deducted in the SOTP bridge on implied equity value. H1 2026 VINCI Airports revenue +1.8% → 2.0% for FY2026.</t>
  </si>
  <si>
    <t xml:space="preserve">ENTERPRISE VALUE — Gatwick + Edinburgh (freehold, 50.01%) (100%)</t>
  </si>
  <si>
    <t xml:space="preserve">Revenue FY2025 633 (Note I.23.5). 13 airports, concession ends 2048. Fully consolidated with 29.99% economic interest → 70.01% deducted in bridge on implied equity value. WACC 9.5% for Mexican country risk and MXN exposure. Growth 4.0% (nominal MXN-linked, below Vinci airports average 3.9% + inflation differential). Segment-average margins (ASSUMPTION).</t>
  </si>
  <si>
    <t xml:space="preserve">ENTERPRISE VALUE — OMA Mexico (to 2048, 29.99%) (100%)</t>
  </si>
  <si>
    <t xml:space="preserve">Revenue = VINCI Airports 4,796 − Gatwick 1,321 − Edinburgh 419 − OMA 633. Contract ends: ANA 2062 (largest), Aerodom 2060, Cabo Verde 2063, Amazonia 2051, Salvador 2047, Lyon 2047, Belgrade 2045, Cambodia 2040, Belfast 2993. ASSUMPTION: single revenue-weighted end date of 2058 (ANA-dominated) — refine per airport if data become available. WACC 8.0% (Portugal/LatAm/Serbia mix). Minorities in Lyon (69.4%) and Cambodia (30%) deducted at book in bridge.</t>
  </si>
  <si>
    <t xml:space="preserve">ENTERPRISE VALUE — Other fully consolidated airports (ANA, Aerodom, Lyon, Belgrade, Brazil…) (100%)</t>
  </si>
  <si>
    <t xml:space="preserve">Other Concessions — VINCI Highways, Railways, Stadium</t>
  </si>
  <si>
    <t xml:space="preserve">FY2025 segment (Note C.1.2): revenue 690, EBITDA 344, D&amp;A 102, operating capex 32, leases 3 (growth investments +10 ignored). Contracts: Entrevias 2047, Via Cristais 2055, Vía Sumapaz 2046, Lima Expresa 2049, Northwest Parkway 2106, Gefyra 2039, Confederation Bridge 2032. ASSUMPTION: single end date 2050. FY2026 growth 5.3% = Vinci impairment-test average for Highways; 4.0% thereafter. WACC 8.0% (LatAm/US mix).</t>
  </si>
  <si>
    <t xml:space="preserve">ENTERPRISE VALUE — Other concessions (VINCI Highways etc.) (100%)</t>
  </si>
  <si>
    <t xml:space="preserve">Energy Construction — going-concern businesses (5-year DCF + Gordon TV)</t>
  </si>
  <si>
    <t xml:space="preserve">FY2025 segment: revenue 21,608, EBITDA 2,019, D&amp;A 621, capex 281, leases 446. Guidance 2026: Energy Solutions mid-to-high single-digit growth with margin improvement (H1 2026: +6.8%). Margin held flat (conservative vs guidance). TV capex 1.4% ≈ D&amp;A net of lease-related amortisation. No working-capital inflow capitalised (negative NWC is not a perpetual source of cash).</t>
  </si>
  <si>
    <t xml:space="preserve">ENTERPRISE VALUE — VINCI Energies (100%)</t>
  </si>
  <si>
    <t xml:space="preserve">FY2025 segment: revenue 8,004, EBITDA 786, D&amp;A 171, capex 1,232 operating + 327 growth (19.5% of revenue — renewables build-out, Zero-e). ASSUMPTION: explicit capex 12% (build-out moderates), 3% in TV. The EBITDA from renewables being built is not modelled explicitly → value likely understated. WACC 9.0% (EPC + emerging-market exposure; Vinci uses 12.5% pre-tax).</t>
  </si>
  <si>
    <t xml:space="preserve">ENTERPRISE VALUE — Cobra IS (100%)</t>
  </si>
  <si>
    <t xml:space="preserve">FY2025 segment: revenue 32,137, EBITDA 2,133, D&amp;A 1,106, capex 881 + 29 growth, leases 321. H1 2026 Construction revenue slightly down → −1% FY2026. WACC 8.0%, g 1.5% (cyclical, low-margin).</t>
  </si>
  <si>
    <t xml:space="preserve">ENTERPRISE VALUE — VINCI Construction (100%)</t>
  </si>
  <si>
    <t xml:space="preserve">Vinci SA — Historicals &amp; Sources (all figures EUR millions unless noted)</t>
  </si>
  <si>
    <t xml:space="preserve">Source: Vinci SA FY2025 Consolidated Financial Statements (year ended 31-Dec-2025), p.3 unless noted</t>
  </si>
  <si>
    <t xml:space="preserve">1. Income Statement (exact Vinci cascade, p.3)</t>
  </si>
  <si>
    <t xml:space="preserve">FY2025</t>
  </si>
  <si>
    <t xml:space="preserve">FY2024</t>
  </si>
  <si>
    <t xml:space="preserve">FY2023</t>
  </si>
  <si>
    <t xml:space="preserve">Revenue</t>
  </si>
  <si>
    <t xml:space="preserve">Concession subsidiaries' revenue derived from works</t>
  </si>
  <si>
    <t xml:space="preserve">Total revenue</t>
  </si>
  <si>
    <t xml:space="preserve">Check: Revenue + Concession works = Total revenue?</t>
  </si>
  <si>
    <t xml:space="preserve">Revenue from ancillary activities</t>
  </si>
  <si>
    <t xml:space="preserve">Operating expenses</t>
  </si>
  <si>
    <t xml:space="preserve">Operating income from ordinary activities (EBIT)</t>
  </si>
  <si>
    <t xml:space="preserve">Check: cascade to EBIT ties out?</t>
  </si>
  <si>
    <t xml:space="preserve">EBIT margin % (of Revenue)</t>
  </si>
  <si>
    <t xml:space="preserve">Share-based payments (IFRS 2)</t>
  </si>
  <si>
    <t xml:space="preserve">Profit/(loss) of companies accounted for under the equity method</t>
  </si>
  <si>
    <t xml:space="preserve">Other recurring operating items</t>
  </si>
  <si>
    <t xml:space="preserve">Recurring operating income</t>
  </si>
  <si>
    <t xml:space="preserve">Non-recurring operating items</t>
  </si>
  <si>
    <t xml:space="preserve">Operating income</t>
  </si>
  <si>
    <t xml:space="preserve">Cost of gross financial debt</t>
  </si>
  <si>
    <t xml:space="preserve">Financial income from cash investments</t>
  </si>
  <si>
    <t xml:space="preserve">Cost of net financial debt</t>
  </si>
  <si>
    <t xml:space="preserve">Other financial income and expense</t>
  </si>
  <si>
    <t xml:space="preserve">Income before tax and profit of equity-method cos. (matches Vinci tax note basis)</t>
  </si>
  <si>
    <t xml:space="preserve">Income tax expense</t>
  </si>
  <si>
    <t xml:space="preserve">Effective tax rate (cross-check only, not used in DCF)</t>
  </si>
  <si>
    <t xml:space="preserve">Net income</t>
  </si>
  <si>
    <t xml:space="preserve">Net income attributable to non-controlling interests</t>
  </si>
  <si>
    <t xml:space="preserve">Net income attributable to owners of the parent</t>
  </si>
  <si>
    <t xml:space="preserve">Depreciation &amp; amortisation (D&amp;A)</t>
  </si>
  <si>
    <t xml:space="preserve">D&amp;A % of Revenue</t>
  </si>
  <si>
    <t xml:space="preserve">EBITDA (memo = EBIT + D&amp;A)</t>
  </si>
  <si>
    <t xml:space="preserve">EBITDA margin %</t>
  </si>
  <si>
    <t xml:space="preserve">Per-Share Data (memo — for trading comps / share count cross-check, not used in UFCF)</t>
  </si>
  <si>
    <t xml:space="preserve">Basic EPS (EUR)</t>
  </si>
  <si>
    <t xml:space="preserve">Diluted EPS (EUR)</t>
  </si>
  <si>
    <t xml:space="preserve">Implied basic shares outstanding (mm) — cross-check</t>
  </si>
  <si>
    <t xml:space="preserve">Implied diluted shares outstanding (mm) — cross-check</t>
  </si>
  <si>
    <t xml:space="preserve">1b. Tax Rate — Methodology &amp; Sourcing</t>
  </si>
  <si>
    <t xml:space="preserve">French theoretical CIT rate (excl. exceptional contribution) — per Vinci's own tax note</t>
  </si>
  <si>
    <t xml:space="preserve">Large-company exceptional surtax — applies? (Vinci turnover vs. threshold)</t>
  </si>
  <si>
    <t xml:space="preserve">YES — turnover &gt;EUR 3bn tier</t>
  </si>
  <si>
    <t xml:space="preserve">Vinci's own disclosed effective tax rate, FY2025 (incl. exceptional contribution)</t>
  </si>
  <si>
    <t xml:space="preserve">Confirmed: same elevated rate continues into FY2026 (per Vinci's own guidance)</t>
  </si>
  <si>
    <t xml:space="preserve">"around 36%" per Vinci press release</t>
  </si>
  <si>
    <t xml:space="preserve">Cross-check: FY2024 vs FY2025 effective rate jump consistent with new surtax?</t>
  </si>
  <si>
    <t xml:space="preserve">Recommended marginal rate for DCF (near-term forecast years, while surtax is in force)</t>
  </si>
  <si>
    <t xml:space="preserve">Recommended marginal rate for DCF (terminal/long-run years)</t>
  </si>
  <si>
    <t xml:space="preserve">2. Balance Sheet</t>
  </si>
  <si>
    <t xml:space="preserve">Non-current assets</t>
  </si>
  <si>
    <t xml:space="preserve">Concession intangible assets</t>
  </si>
  <si>
    <t xml:space="preserve">Goodwill</t>
  </si>
  <si>
    <t xml:space="preserve">Other intangible assets</t>
  </si>
  <si>
    <t xml:space="preserve">Property, plant and equipment (PP&amp;E)</t>
  </si>
  <si>
    <t xml:space="preserve">Investments in companies under the equity method</t>
  </si>
  <si>
    <t xml:space="preserve">Other non-current financial assets</t>
  </si>
  <si>
    <t xml:space="preserve">Derivative financial instruments (non-current assets)</t>
  </si>
  <si>
    <t xml:space="preserve">Deferred tax assets</t>
  </si>
  <si>
    <t xml:space="preserve">Total non-current assets</t>
  </si>
  <si>
    <t xml:space="preserve">Current assets</t>
  </si>
  <si>
    <t xml:space="preserve">Inventories and work in progress</t>
  </si>
  <si>
    <t xml:space="preserve">Trade and other receivables</t>
  </si>
  <si>
    <t xml:space="preserve">Other current assets</t>
  </si>
  <si>
    <t xml:space="preserve">Current tax assets</t>
  </si>
  <si>
    <t xml:space="preserve">Other current financial assets</t>
  </si>
  <si>
    <t xml:space="preserve">Derivative financial instruments (current assets)</t>
  </si>
  <si>
    <t xml:space="preserve">Cash management financial assets</t>
  </si>
  <si>
    <t xml:space="preserve">Cash and cash equivalents</t>
  </si>
  <si>
    <t xml:space="preserve">Total current assets</t>
  </si>
  <si>
    <t xml:space="preserve">Assets held for sale</t>
  </si>
  <si>
    <t xml:space="preserve">TOTAL ASSETS</t>
  </si>
  <si>
    <t xml:space="preserve">Equity</t>
  </si>
  <si>
    <t xml:space="preserve">Share capital</t>
  </si>
  <si>
    <t xml:space="preserve">Share premium</t>
  </si>
  <si>
    <t xml:space="preserve">Treasury shares</t>
  </si>
  <si>
    <t xml:space="preserve">Consolidated reserves</t>
  </si>
  <si>
    <t xml:space="preserve">Currency translation reserves</t>
  </si>
  <si>
    <t xml:space="preserve">Amounts recognised directly in equity</t>
  </si>
  <si>
    <t xml:space="preserve">Equity attributable to owners of the parent</t>
  </si>
  <si>
    <t xml:space="preserve">Equity attributable to non-controlling interests</t>
  </si>
  <si>
    <t xml:space="preserve">Total equity</t>
  </si>
  <si>
    <t xml:space="preserve">Non-current liabilities</t>
  </si>
  <si>
    <t xml:space="preserve">Non-current provisions</t>
  </si>
  <si>
    <t xml:space="preserve">Provisions for employee benefits</t>
  </si>
  <si>
    <t xml:space="preserve">Bonds</t>
  </si>
  <si>
    <t xml:space="preserve">Other loans and borrowings</t>
  </si>
  <si>
    <t xml:space="preserve">Derivative financial instruments (non-current liabilities)</t>
  </si>
  <si>
    <t xml:space="preserve">Non-current lease liabilities</t>
  </si>
  <si>
    <t xml:space="preserve">Other non-current liabilities</t>
  </si>
  <si>
    <t xml:space="preserve">Deferred tax liabilities</t>
  </si>
  <si>
    <t xml:space="preserve">Total non-current liabilities</t>
  </si>
  <si>
    <t xml:space="preserve">Current liabilities</t>
  </si>
  <si>
    <t xml:space="preserve">Current provisions</t>
  </si>
  <si>
    <t xml:space="preserve">Trade payables</t>
  </si>
  <si>
    <t xml:space="preserve">Other current liabilities</t>
  </si>
  <si>
    <t xml:space="preserve">Current tax liabilities</t>
  </si>
  <si>
    <t xml:space="preserve">Current lease liabilities</t>
  </si>
  <si>
    <t xml:space="preserve">Derivative financial instruments (current liabilities)</t>
  </si>
  <si>
    <t xml:space="preserve">Current borrowings</t>
  </si>
  <si>
    <t xml:space="preserve">Total current liabilities</t>
  </si>
  <si>
    <t xml:space="preserve">Liabilities directly associated with assets held for sale</t>
  </si>
  <si>
    <t xml:space="preserve">TOTAL EQUITY AND LIABILITIES</t>
  </si>
  <si>
    <t xml:space="preserve">Balance check (Total Assets - Total Equity &amp; Liabilities)</t>
  </si>
  <si>
    <t xml:space="preserve">3. Cash Flow Statement</t>
  </si>
  <si>
    <t xml:space="preserve">Operating activities</t>
  </si>
  <si>
    <t xml:space="preserve">Consolidated net income (incl. non-controlling)</t>
  </si>
  <si>
    <t xml:space="preserve">Depreciation and amortisation</t>
  </si>
  <si>
    <t xml:space="preserve">Net increase/(decrease) in provisions and impairment</t>
  </si>
  <si>
    <t xml:space="preserve">Share-based payments (IFRS 2) and other restatements</t>
  </si>
  <si>
    <t xml:space="preserve">Gain or loss on disposals</t>
  </si>
  <si>
    <t xml:space="preserve">Change in fair value of financial instruments</t>
  </si>
  <si>
    <t xml:space="preserve">Share of profit/(loss) of equity method cos.</t>
  </si>
  <si>
    <t xml:space="preserve">Cost of net financial debt recognised</t>
  </si>
  <si>
    <t xml:space="preserve">Capitalised borrowing costs</t>
  </si>
  <si>
    <t xml:space="preserve">Financial expense on lease liabilities and other</t>
  </si>
  <si>
    <t xml:space="preserve">Current and deferred tax expense recognised</t>
  </si>
  <si>
    <t xml:space="preserve">Cash flow from operations before tax and financing costs</t>
  </si>
  <si>
    <t xml:space="preserve">Changes in operating working capital &amp; current provisions</t>
  </si>
  <si>
    <t xml:space="preserve">Income taxes paid</t>
  </si>
  <si>
    <t xml:space="preserve">Net interest paid</t>
  </si>
  <si>
    <t xml:space="preserve">Dividends received from equity-method companies</t>
  </si>
  <si>
    <t xml:space="preserve">Other long-term advances and associated interest</t>
  </si>
  <si>
    <t xml:space="preserve">Net cash flows from operating activities (I)</t>
  </si>
  <si>
    <t xml:space="preserve">Check: sum of line items above vs. reported subtotal</t>
  </si>
  <si>
    <t xml:space="preserve">Investing activities</t>
  </si>
  <si>
    <t xml:space="preserve">Purchases of PP&amp;E and intangible assets</t>
  </si>
  <si>
    <t xml:space="preserve">Proceeds from sales of PP&amp;E and intangibles</t>
  </si>
  <si>
    <t xml:space="preserve">Operating investments (net of disposals)</t>
  </si>
  <si>
    <t xml:space="preserve">Investments in concession fixed assets (net of grants)</t>
  </si>
  <si>
    <t xml:space="preserve">Financial receivables (PPP contracts and others)</t>
  </si>
  <si>
    <t xml:space="preserve">Growth investments (concessions and PPPs)</t>
  </si>
  <si>
    <t xml:space="preserve">Total capital expenditures (organic, excl. M&amp;A)</t>
  </si>
  <si>
    <t xml:space="preserve">Purchases of shares in subsidiaries and affiliates</t>
  </si>
  <si>
    <t xml:space="preserve">Proceeds from sales of shares in subsidiaries and affiliates</t>
  </si>
  <si>
    <t xml:space="preserve">Cash and cash equivalents of acquired companies</t>
  </si>
  <si>
    <t xml:space="preserve">Net financial investments (M&amp;A)</t>
  </si>
  <si>
    <t xml:space="preserve">Other</t>
  </si>
  <si>
    <t xml:space="preserve">Net cash flows from investing activities (II)</t>
  </si>
  <si>
    <t xml:space="preserve">Financing activities</t>
  </si>
  <si>
    <t xml:space="preserve">Share capital increases/decreases &amp; equity repurchases</t>
  </si>
  <si>
    <t xml:space="preserve">Transactions in treasury shares</t>
  </si>
  <si>
    <t xml:space="preserve">Capital increases/decreases of subsidiaries (third parties)</t>
  </si>
  <si>
    <t xml:space="preserve">Acquisitions/disposals of NCI (no loss of control)</t>
  </si>
  <si>
    <t xml:space="preserve">Dividends paid to shareholders of Vinci SA</t>
  </si>
  <si>
    <t xml:space="preserve">Dividends paid to non-controlling interests</t>
  </si>
  <si>
    <t xml:space="preserve">Proceeds from new long-term borrowings</t>
  </si>
  <si>
    <t xml:space="preserve">Repayments of long-term borrowings</t>
  </si>
  <si>
    <t xml:space="preserve">Repayments of lease liabilities &amp; related finance expense</t>
  </si>
  <si>
    <t xml:space="preserve">Change in cash management assets &amp; other current fin. debts</t>
  </si>
  <si>
    <t xml:space="preserve">Net cash flows from financing activities (III)</t>
  </si>
  <si>
    <t xml:space="preserve">Other changes (IV)</t>
  </si>
  <si>
    <t xml:space="preserve">Change in net cash (I+II+III+IV)</t>
  </si>
  <si>
    <t xml:space="preserve">Net cash and cash equivalents at beginning of period</t>
  </si>
  <si>
    <t xml:space="preserve">Net cash and cash equivalents at end of period</t>
  </si>
  <si>
    <t xml:space="preserve">4. Net Working Capital (derived from Section 2 Balance Sheet)</t>
  </si>
  <si>
    <t xml:space="preserve">WC assets (Inventories + Trade receivables + Other current assets)</t>
  </si>
  <si>
    <t xml:space="preserve">WC liabilities (Trade payables + Other current liabilities + Current provisions)</t>
  </si>
  <si>
    <t xml:space="preserve">Net working capital (WC assets - WC liabilities)</t>
  </si>
  <si>
    <t xml:space="preserve">NWC as % of Revenue</t>
  </si>
  <si>
    <t xml:space="preserve">5. Net Debt Reconciliation</t>
  </si>
  <si>
    <t xml:space="preserve">Total gross financial debt (I)</t>
  </si>
  <si>
    <t xml:space="preserve">Check: BS-derived gross debt vs. Net Debt note figure</t>
  </si>
  <si>
    <t xml:space="preserve">Total financial assets (II)</t>
  </si>
  <si>
    <t xml:space="preserve">Net derivative financial instruments (III)</t>
  </si>
  <si>
    <t xml:space="preserve">Net financial debt (I+II+III)</t>
  </si>
  <si>
    <t xml:space="preserve">Net debt (positive convention, for EV bridge)</t>
  </si>
  <si>
    <t xml:space="preserve">7. Cost of Debt — Market Reference</t>
  </si>
  <si>
    <t xml:space="preserve">ASF 3.375% Jan-2034 bond (ISIN FR0014015J53) price</t>
  </si>
  <si>
    <t xml:space="preserve">Coupon</t>
  </si>
  <si>
    <t xml:space="preserve">Current yield (coupon / price)</t>
  </si>
  <si>
    <t xml:space="preserve">Cost of debt (pre-tax) — Vinci's own disclosed average cost of long-term gross debt</t>
  </si>
  <si>
    <t xml:space="preserve">8. Segment Detail FY2025 (reference only — not consolidated-group lines)</t>
  </si>
  <si>
    <t xml:space="preserve">Concessions - VINCI Autoroutes</t>
  </si>
  <si>
    <t xml:space="preserve">Concessions - VINCI Airports</t>
  </si>
  <si>
    <t xml:space="preserve">Energy Solutions (total, incl. Cobra IS)</t>
  </si>
  <si>
    <t xml:space="preserve">Construction (total, incl. VINCI Immobilier)</t>
  </si>
  <si>
    <t xml:space="preserve">Sum of segments</t>
  </si>
  <si>
    <t xml:space="preserve">vs. Group total (Section 1 Revenue)</t>
  </si>
</sst>
</file>

<file path=xl/styles.xml><?xml version="1.0" encoding="utf-8"?>
<styleSheet xmlns="http://schemas.openxmlformats.org/spreadsheetml/2006/main">
  <numFmts count="17">
    <numFmt numFmtId="164" formatCode="General"/>
    <numFmt numFmtId="165" formatCode="0.0%;\(0.0%\);\-"/>
    <numFmt numFmtId="166" formatCode="#,##0;\(#,##0\);\-"/>
    <numFmt numFmtId="167" formatCode="0.0\x"/>
    <numFmt numFmtId="168" formatCode="#,##0.0"/>
    <numFmt numFmtId="169" formatCode="#,##0.00;\(#,##0.00\);\-"/>
    <numFmt numFmtId="170" formatCode="\+0.0%;\-0.0%;0.0%"/>
    <numFmt numFmtId="171" formatCode="dd\-mmm\-yyyy"/>
    <numFmt numFmtId="172" formatCode="#,##0.00"/>
    <numFmt numFmtId="173" formatCode="0"/>
    <numFmt numFmtId="174" formatCode="0.00"/>
    <numFmt numFmtId="175" formatCode="0.000"/>
    <numFmt numFmtId="176" formatCode="#,##0;\(#,##0\);\-"/>
    <numFmt numFmtId="177" formatCode="0.00%"/>
    <numFmt numFmtId="178" formatCode="0.0%"/>
    <numFmt numFmtId="179" formatCode="#,##0.00;\(#,##0.00\);\-"/>
    <numFmt numFmtId="180" formatCode="#,##0.0;\(#,##0.0\);\-"/>
  </numFmts>
  <fonts count="18">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name val="Arial"/>
      <family val="0"/>
      <charset val="1"/>
    </font>
    <font>
      <sz val="11"/>
      <name val="Arial"/>
      <family val="0"/>
      <charset val="1"/>
    </font>
    <font>
      <i val="true"/>
      <sz val="11"/>
      <name val="Arial"/>
      <family val="0"/>
      <charset val="1"/>
    </font>
    <font>
      <b val="true"/>
      <sz val="11"/>
      <color rgb="FFFFFFFF"/>
      <name val="Arial"/>
      <family val="0"/>
      <charset val="1"/>
    </font>
    <font>
      <sz val="11"/>
      <color rgb="FF008000"/>
      <name val="Arial"/>
      <family val="0"/>
      <charset val="1"/>
    </font>
    <font>
      <sz val="11"/>
      <color rgb="FF0000FF"/>
      <name val="Arial"/>
      <family val="0"/>
      <charset val="1"/>
    </font>
    <font>
      <i val="true"/>
      <sz val="9"/>
      <name val="Arial"/>
      <family val="0"/>
      <charset val="1"/>
    </font>
    <font>
      <b val="true"/>
      <sz val="14"/>
      <name val="Arial"/>
      <family val="0"/>
      <charset val="1"/>
    </font>
    <font>
      <b val="true"/>
      <i val="true"/>
      <sz val="10"/>
      <name val="Arial"/>
      <family val="0"/>
      <charset val="1"/>
    </font>
    <font>
      <b val="true"/>
      <sz val="10"/>
      <name val="Arial"/>
      <family val="0"/>
      <charset val="1"/>
    </font>
    <font>
      <sz val="10"/>
      <color rgb="FF000000"/>
      <name val="Arial"/>
      <family val="0"/>
      <charset val="1"/>
    </font>
    <font>
      <sz val="10"/>
      <color rgb="FF0000FF"/>
      <name val="Arial"/>
      <family val="0"/>
      <charset val="1"/>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
      <patternFill patternType="solid">
        <fgColor rgb="FFC6EFCE"/>
        <bgColor rgb="FFCC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5" fillId="4"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right"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0" fillId="4"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1" fontId="10" fillId="4" borderId="0" xfId="0" applyFont="true" applyBorder="false" applyAlignment="false" applyProtection="false">
      <alignment horizontal="general" vertical="bottom" textRotation="0" wrapText="false" indent="0" shrinkToFit="false"/>
      <protection locked="true" hidden="false"/>
    </xf>
    <xf numFmtId="173" fontId="8" fillId="2"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5" fontId="6"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76" fontId="16" fillId="0" borderId="0" xfId="0" applyFont="true" applyBorder="false" applyAlignment="false" applyProtection="false">
      <alignment horizontal="general" vertical="bottom" textRotation="0" wrapText="false" indent="0" shrinkToFit="false"/>
      <protection locked="true" hidden="false"/>
    </xf>
    <xf numFmtId="176" fontId="14" fillId="0" borderId="0" xfId="0" applyFont="true" applyBorder="false" applyAlignment="false" applyProtection="false">
      <alignment horizontal="general" vertical="bottom" textRotation="0" wrapText="false" indent="0" shrinkToFit="false"/>
      <protection locked="true" hidden="false"/>
    </xf>
    <xf numFmtId="177" fontId="15" fillId="0" borderId="0" xfId="0" applyFont="true" applyBorder="false" applyAlignment="false" applyProtection="false">
      <alignment horizontal="general" vertical="bottom" textRotation="0" wrapText="false" indent="0" shrinkToFit="false"/>
      <protection locked="true" hidden="false"/>
    </xf>
    <xf numFmtId="176" fontId="15" fillId="0" borderId="0" xfId="0" applyFont="true" applyBorder="false" applyAlignment="false" applyProtection="false">
      <alignment horizontal="general" vertical="bottom" textRotation="0" wrapText="false" indent="0" shrinkToFit="false"/>
      <protection locked="true" hidden="false"/>
    </xf>
    <xf numFmtId="178" fontId="15" fillId="0" borderId="0" xfId="0" applyFont="true" applyBorder="false" applyAlignment="false" applyProtection="false">
      <alignment horizontal="general"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79" fontId="16" fillId="0" borderId="0" xfId="0" applyFont="true" applyBorder="false" applyAlignment="false" applyProtection="false">
      <alignment horizontal="general" vertical="bottom" textRotation="0" wrapText="false" indent="0" shrinkToFit="false"/>
      <protection locked="true" hidden="false"/>
    </xf>
    <xf numFmtId="180" fontId="15" fillId="0" borderId="0" xfId="0" applyFont="true" applyBorder="false" applyAlignment="false" applyProtection="false">
      <alignment horizontal="general" vertical="bottom" textRotation="0" wrapText="false" indent="0" shrinkToFit="false"/>
      <protection locked="true" hidden="false"/>
    </xf>
    <xf numFmtId="178"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7" fontId="16" fillId="4" borderId="0" xfId="0" applyFont="true" applyBorder="false" applyAlignment="false" applyProtection="false">
      <alignment horizontal="general" vertical="bottom" textRotation="0" wrapText="false" indent="0" shrinkToFit="false"/>
      <protection locked="true" hidden="false"/>
    </xf>
    <xf numFmtId="178" fontId="16" fillId="4"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76" fontId="14" fillId="4" borderId="0" xfId="0" applyFont="true" applyBorder="fals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80" fontId="16" fillId="0" borderId="0" xfId="0" applyFont="true" applyBorder="false" applyAlignment="false" applyProtection="false">
      <alignment horizontal="general" vertical="bottom" textRotation="0" wrapText="false" indent="0" shrinkToFit="false"/>
      <protection locked="true" hidden="false"/>
    </xf>
    <xf numFmtId="177"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30"/>
  </cols>
  <sheetData>
    <row r="2" customFormat="false" ht="16.15" hidden="false" customHeight="false" outlineLevel="0" collapsed="false">
      <c r="B2" s="1" t="s">
        <v>0</v>
      </c>
    </row>
    <row r="4" customFormat="false" ht="15" hidden="false" customHeight="false" outlineLevel="0" collapsed="false">
      <c r="B4" s="2" t="s">
        <v>1</v>
      </c>
    </row>
    <row r="5" customFormat="false" ht="26.85" hidden="false" customHeight="false" outlineLevel="0" collapsed="false">
      <c r="B5" s="3" t="s">
        <v>2</v>
      </c>
    </row>
    <row r="6" customFormat="false" ht="26.85" hidden="false" customHeight="false" outlineLevel="0" collapsed="false">
      <c r="B6" s="3" t="s">
        <v>3</v>
      </c>
    </row>
    <row r="7" customFormat="false" ht="15" hidden="false" customHeight="false" outlineLevel="0" collapsed="false">
      <c r="B7" s="2" t="s">
        <v>4</v>
      </c>
    </row>
    <row r="8" customFormat="false" ht="26.85" hidden="false" customHeight="false" outlineLevel="0" collapsed="false">
      <c r="B8" s="3" t="s">
        <v>5</v>
      </c>
    </row>
    <row r="9" customFormat="false" ht="26.85" hidden="false" customHeight="false" outlineLevel="0" collapsed="false">
      <c r="B9" s="3" t="s">
        <v>6</v>
      </c>
    </row>
    <row r="10" customFormat="false" ht="39.55" hidden="false" customHeight="false" outlineLevel="0" collapsed="false">
      <c r="B10" s="3" t="s">
        <v>7</v>
      </c>
    </row>
    <row r="11" customFormat="false" ht="26.85" hidden="false" customHeight="false" outlineLevel="0" collapsed="false">
      <c r="B11" s="3" t="s">
        <v>8</v>
      </c>
    </row>
    <row r="12" customFormat="false" ht="26.85" hidden="false" customHeight="false" outlineLevel="0" collapsed="false">
      <c r="B12" s="3" t="s">
        <v>9</v>
      </c>
    </row>
    <row r="13" customFormat="false" ht="15" hidden="false" customHeight="false" outlineLevel="0" collapsed="false">
      <c r="B13" s="2" t="s">
        <v>10</v>
      </c>
    </row>
    <row r="14" customFormat="false" ht="26.85" hidden="false" customHeight="false" outlineLevel="0" collapsed="false">
      <c r="B14" s="3" t="s">
        <v>11</v>
      </c>
    </row>
    <row r="15" customFormat="false" ht="26.85" hidden="false" customHeight="false" outlineLevel="0" collapsed="false">
      <c r="B15" s="3" t="s">
        <v>12</v>
      </c>
    </row>
    <row r="16" customFormat="false" ht="26.85" hidden="false" customHeight="false" outlineLevel="0" collapsed="false">
      <c r="B16" s="3"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52"/>
    <col collapsed="false" customWidth="true" hidden="false" outlineLevel="0" max="3" min="3" style="0" width="30"/>
    <col collapsed="false" customWidth="true" hidden="false" outlineLevel="0" max="4" min="4" style="0" width="18"/>
    <col collapsed="false" customWidth="true" hidden="false" outlineLevel="0" max="6" min="5" style="0" width="14"/>
    <col collapsed="false" customWidth="true" hidden="false" outlineLevel="0" max="8" min="7" style="0" width="12"/>
  </cols>
  <sheetData>
    <row r="2" customFormat="false" ht="16.15" hidden="false" customHeight="false" outlineLevel="0" collapsed="false">
      <c r="B2" s="4" t="s">
        <v>14</v>
      </c>
    </row>
    <row r="3" customFormat="false" ht="15" hidden="false" customHeight="false" outlineLevel="0" collapsed="false">
      <c r="B3" s="5" t="str">
        <f aca="false">CONCATENATE("Valuation date ",TEXT(Inputs!$C$5,"dd-mmm-yyyy"),"  ·  balance sheet at 30 Jun 2026  ·  lease repayments inside FCF")</f>
        <v>Valuation date 30-Jun-2026  ·  balance sheet at 30 Jun 2026  ·  lease repayments inside FCF</v>
      </c>
    </row>
    <row r="5" customFormat="false" ht="15" hidden="false" customHeight="false" outlineLevel="0" collapsed="false">
      <c r="B5" s="6" t="s">
        <v>15</v>
      </c>
      <c r="C5" s="6" t="s">
        <v>16</v>
      </c>
      <c r="D5" s="6" t="s">
        <v>17</v>
      </c>
      <c r="E5" s="6" t="s">
        <v>18</v>
      </c>
      <c r="F5" s="6" t="s">
        <v>19</v>
      </c>
      <c r="G5" s="6" t="s">
        <v>20</v>
      </c>
      <c r="H5" s="6" t="s">
        <v>21</v>
      </c>
    </row>
    <row r="6" customFormat="false" ht="15" hidden="false" customHeight="false" outlineLevel="0" collapsed="false">
      <c r="B6" s="7" t="s">
        <v>22</v>
      </c>
      <c r="C6" s="7" t="s">
        <v>23</v>
      </c>
      <c r="D6" s="7" t="s">
        <v>24</v>
      </c>
      <c r="E6" s="8" t="n">
        <f aca="false">Autoroutes!$C$12</f>
        <v>0.065</v>
      </c>
      <c r="F6" s="9" t="n">
        <f aca="false">Autoroutes!$C$38</f>
        <v>16324.9164306809</v>
      </c>
      <c r="G6" s="10" t="n">
        <f aca="false">F6/$F$18</f>
        <v>0.168710209461115</v>
      </c>
      <c r="H6" s="11" t="n">
        <f aca="false">Autoroutes!$C$40</f>
        <v>5.88919055870825</v>
      </c>
    </row>
    <row r="7" customFormat="false" ht="15" hidden="false" customHeight="false" outlineLevel="0" collapsed="false">
      <c r="B7" s="7" t="s">
        <v>25</v>
      </c>
      <c r="C7" s="7" t="s">
        <v>23</v>
      </c>
      <c r="D7" s="7" t="s">
        <v>26</v>
      </c>
      <c r="E7" s="8" t="n">
        <f aca="false">Autoroutes!$C$54</f>
        <v>0.065</v>
      </c>
      <c r="F7" s="9" t="n">
        <f aca="false">Autoroutes!$C$80</f>
        <v>2669.71727902801</v>
      </c>
      <c r="G7" s="10" t="n">
        <f aca="false">F7/$F$18</f>
        <v>0.0275902521926717</v>
      </c>
      <c r="H7" s="11" t="n">
        <f aca="false">Autoroutes!$C$82</f>
        <v>3.93757241539841</v>
      </c>
    </row>
    <row r="8" customFormat="false" ht="15" hidden="false" customHeight="false" outlineLevel="0" collapsed="false">
      <c r="B8" s="7" t="s">
        <v>27</v>
      </c>
      <c r="C8" s="7" t="s">
        <v>23</v>
      </c>
      <c r="D8" s="7" t="s">
        <v>28</v>
      </c>
      <c r="E8" s="8" t="n">
        <f aca="false">Autoroutes!$C$96</f>
        <v>0.065</v>
      </c>
      <c r="F8" s="9" t="n">
        <f aca="false">Autoroutes!$C$122</f>
        <v>5885.75734550381</v>
      </c>
      <c r="G8" s="10" t="n">
        <f aca="false">F8/$F$18</f>
        <v>0.0608264893001863</v>
      </c>
      <c r="H8" s="11" t="n">
        <f aca="false">Autoroutes!$C$124</f>
        <v>4.95389657519157</v>
      </c>
    </row>
    <row r="9" customFormat="false" ht="15" hidden="false" customHeight="false" outlineLevel="0" collapsed="false">
      <c r="B9" s="7" t="s">
        <v>29</v>
      </c>
      <c r="C9" s="7" t="s">
        <v>23</v>
      </c>
      <c r="D9" s="7" t="s">
        <v>30</v>
      </c>
      <c r="E9" s="8" t="n">
        <f aca="false">Autoroutes!$C$138</f>
        <v>0.065</v>
      </c>
      <c r="F9" s="9" t="n">
        <f aca="false">Autoroutes!$C$164</f>
        <v>1567.17690907552</v>
      </c>
      <c r="G9" s="10" t="n">
        <f aca="false">F9/$F$18</f>
        <v>0.0161960243848995</v>
      </c>
      <c r="H9" s="11" t="n">
        <f aca="false">Autoroutes!$C$166</f>
        <v>13.9703590831029</v>
      </c>
    </row>
    <row r="10" customFormat="false" ht="15" hidden="false" customHeight="false" outlineLevel="0" collapsed="false">
      <c r="B10" s="7" t="s">
        <v>31</v>
      </c>
      <c r="C10" s="7" t="s">
        <v>32</v>
      </c>
      <c r="D10" s="7" t="s">
        <v>33</v>
      </c>
      <c r="E10" s="8" t="n">
        <f aca="false">Airports!$C$12</f>
        <v>0.075</v>
      </c>
      <c r="F10" s="9" t="n">
        <f aca="false">Airports!$C$38</f>
        <v>14949.5335392004</v>
      </c>
      <c r="G10" s="10" t="n">
        <f aca="false">F10/$F$18</f>
        <v>0.154496284587674</v>
      </c>
      <c r="H10" s="11" t="n">
        <f aca="false">Airports!$C$40</f>
        <v>13.2795546458025</v>
      </c>
    </row>
    <row r="11" customFormat="false" ht="15" hidden="false" customHeight="false" outlineLevel="0" collapsed="false">
      <c r="B11" s="7" t="s">
        <v>34</v>
      </c>
      <c r="C11" s="7" t="s">
        <v>23</v>
      </c>
      <c r="D11" s="7" t="s">
        <v>35</v>
      </c>
      <c r="E11" s="8" t="n">
        <f aca="false">Airports!$C$54</f>
        <v>0.095</v>
      </c>
      <c r="F11" s="9" t="n">
        <f aca="false">Airports!$C$80</f>
        <v>3105.90410078386</v>
      </c>
      <c r="G11" s="10" t="n">
        <f aca="false">F11/$F$18</f>
        <v>0.0320980345372297</v>
      </c>
      <c r="H11" s="11" t="n">
        <f aca="false">Airports!$C$82</f>
        <v>7.58384501275388</v>
      </c>
    </row>
    <row r="12" customFormat="false" ht="15" hidden="false" customHeight="false" outlineLevel="0" collapsed="false">
      <c r="B12" s="7" t="s">
        <v>36</v>
      </c>
      <c r="C12" s="7" t="s">
        <v>23</v>
      </c>
      <c r="D12" s="7" t="s">
        <v>37</v>
      </c>
      <c r="E12" s="8" t="n">
        <f aca="false">Airports!$C$96</f>
        <v>0.08</v>
      </c>
      <c r="F12" s="9" t="n">
        <f aca="false">Airports!$C$122</f>
        <v>14811.1086570911</v>
      </c>
      <c r="G12" s="10" t="n">
        <f aca="false">F12/$F$18</f>
        <v>0.153065729585788</v>
      </c>
      <c r="H12" s="11" t="n">
        <f aca="false">Airports!$C$124</f>
        <v>9.44798664504713</v>
      </c>
    </row>
    <row r="13" customFormat="false" ht="15" hidden="false" customHeight="false" outlineLevel="0" collapsed="false">
      <c r="B13" s="7" t="s">
        <v>38</v>
      </c>
      <c r="C13" s="7" t="s">
        <v>23</v>
      </c>
      <c r="D13" s="7" t="s">
        <v>39</v>
      </c>
      <c r="E13" s="8" t="n">
        <f aca="false">Other_Concessions!$C$12</f>
        <v>0.08</v>
      </c>
      <c r="F13" s="9" t="n">
        <f aca="false">Other_Concessions!$C$38</f>
        <v>4138.18123761969</v>
      </c>
      <c r="G13" s="10" t="n">
        <f aca="false">F13/$F$18</f>
        <v>0.0427661254102823</v>
      </c>
      <c r="H13" s="11" t="n">
        <f aca="false">Other_Concessions!$C$40</f>
        <v>11.4229893321286</v>
      </c>
    </row>
    <row r="14" customFormat="false" ht="15" hidden="false" customHeight="false" outlineLevel="0" collapsed="false">
      <c r="B14" s="7" t="s">
        <v>40</v>
      </c>
      <c r="C14" s="7" t="s">
        <v>41</v>
      </c>
      <c r="D14" s="7" t="s">
        <v>42</v>
      </c>
      <c r="E14" s="8" t="n">
        <f aca="false">Energy_Construction!$C$12</f>
        <v>0.075</v>
      </c>
      <c r="F14" s="9" t="n">
        <f aca="false">Energy_Construction!$C$38</f>
        <v>19042.1637415128</v>
      </c>
      <c r="G14" s="10" t="n">
        <f aca="false">F14/$F$18</f>
        <v>0.196791661817376</v>
      </c>
      <c r="H14" s="11" t="n">
        <f aca="false">Energy_Construction!$C$40</f>
        <v>8.8594189649365</v>
      </c>
    </row>
    <row r="15" customFormat="false" ht="15" hidden="false" customHeight="false" outlineLevel="0" collapsed="false">
      <c r="B15" s="7" t="s">
        <v>43</v>
      </c>
      <c r="C15" s="7" t="s">
        <v>41</v>
      </c>
      <c r="D15" s="7" t="s">
        <v>42</v>
      </c>
      <c r="E15" s="8" t="n">
        <f aca="false">Energy_Construction!$C$54</f>
        <v>0.09</v>
      </c>
      <c r="F15" s="9" t="n">
        <f aca="false">Energy_Construction!$C$80</f>
        <v>3821.99224272156</v>
      </c>
      <c r="G15" s="10" t="n">
        <f aca="false">F15/$F$18</f>
        <v>0.0394984632580701</v>
      </c>
      <c r="H15" s="11" t="n">
        <f aca="false">Energy_Construction!$C$82</f>
        <v>4.5873868808611</v>
      </c>
    </row>
    <row r="16" customFormat="false" ht="15" hidden="false" customHeight="false" outlineLevel="0" collapsed="false">
      <c r="B16" s="7" t="s">
        <v>44</v>
      </c>
      <c r="C16" s="7" t="s">
        <v>41</v>
      </c>
      <c r="D16" s="7" t="s">
        <v>42</v>
      </c>
      <c r="E16" s="8" t="n">
        <f aca="false">Energy_Construction!$C$96</f>
        <v>0.08</v>
      </c>
      <c r="F16" s="9" t="n">
        <f aca="false">Energy_Construction!$C$122</f>
        <v>9338.61035414834</v>
      </c>
      <c r="G16" s="10" t="n">
        <f aca="false">F16/$F$18</f>
        <v>0.0965100749896087</v>
      </c>
      <c r="H16" s="11" t="n">
        <f aca="false">Energy_Construction!$C$124</f>
        <v>4.42052293797197</v>
      </c>
    </row>
    <row r="17" customFormat="false" ht="15" hidden="false" customHeight="false" outlineLevel="0" collapsed="false">
      <c r="B17" s="7" t="s">
        <v>45</v>
      </c>
      <c r="C17" s="7" t="s">
        <v>46</v>
      </c>
      <c r="D17" s="7" t="s">
        <v>47</v>
      </c>
      <c r="F17" s="9" t="n">
        <f aca="false">Inputs!$C$27</f>
        <v>1108</v>
      </c>
      <c r="G17" s="10" t="n">
        <f aca="false">F17/$F$18</f>
        <v>0.0114506504750983</v>
      </c>
    </row>
    <row r="18" customFormat="false" ht="15" hidden="false" customHeight="false" outlineLevel="0" collapsed="false">
      <c r="B18" s="12" t="s">
        <v>48</v>
      </c>
      <c r="F18" s="13" t="n">
        <f aca="false">SUM(F6:F17)</f>
        <v>96763.061837366</v>
      </c>
      <c r="G18" s="14" t="n">
        <f aca="false">SUM(G6:G17)</f>
        <v>1</v>
      </c>
      <c r="H18" s="15" t="n">
        <f aca="false">F18/(Autoroutes!$D$22+Autoroutes!$D$64+Autoroutes!$D$106+Autoroutes!$D$148+Airports!$D$22+Airports!$D$64+Airports!$D$106+Other_Concessions!$D$22+Energy_Construction!$D$22+Energy_Construction!$D$64+Energy_Construction!$D$106)</f>
        <v>7.26962317281275</v>
      </c>
    </row>
    <row r="20" customFormat="false" ht="15" hidden="false" customHeight="false" outlineLevel="0" collapsed="false">
      <c r="B20" s="7" t="s">
        <v>49</v>
      </c>
      <c r="F20" s="9" t="n">
        <f aca="false">Inputs!$C$17</f>
        <v>2051</v>
      </c>
    </row>
    <row r="21" customFormat="false" ht="15" hidden="false" customHeight="false" outlineLevel="0" collapsed="false">
      <c r="B21" s="7" t="s">
        <v>50</v>
      </c>
      <c r="F21" s="9" t="n">
        <f aca="false">-Inputs!$C$12</f>
        <v>-22450</v>
      </c>
    </row>
    <row r="22" customFormat="false" ht="15" hidden="false" customHeight="false" outlineLevel="0" collapsed="false">
      <c r="B22" s="7" t="s">
        <v>51</v>
      </c>
      <c r="F22" s="9" t="n">
        <f aca="false">-Inputs!$C$18*(1-Inputs!$C$11)</f>
        <v>-867.398</v>
      </c>
    </row>
    <row r="23" customFormat="false" ht="15" hidden="false" customHeight="false" outlineLevel="0" collapsed="false">
      <c r="B23" s="7" t="s">
        <v>52</v>
      </c>
      <c r="F23" s="16" t="n">
        <f aca="false">-Inputs!$C$25*MAX(0,F10-Inputs!$C$23)</f>
        <v>-2087.84911624626</v>
      </c>
    </row>
    <row r="24" customFormat="false" ht="15" hidden="false" customHeight="false" outlineLevel="0" collapsed="false">
      <c r="B24" s="7" t="s">
        <v>53</v>
      </c>
      <c r="F24" s="16" t="n">
        <f aca="false">-Inputs!$C$26*MAX(0,F11-Inputs!$C$24)</f>
        <v>-1242.61036095878</v>
      </c>
    </row>
    <row r="25" customFormat="false" ht="15" hidden="false" customHeight="false" outlineLevel="0" collapsed="false">
      <c r="B25" s="7" t="s">
        <v>54</v>
      </c>
      <c r="F25" s="9" t="n">
        <f aca="false">-(Inputs!$C$19-Inputs!$C$20-Inputs!$C$21-Inputs!$C$22)</f>
        <v>-670</v>
      </c>
    </row>
    <row r="26" customFormat="false" ht="15" hidden="false" customHeight="false" outlineLevel="0" collapsed="false">
      <c r="B26" s="12" t="s">
        <v>55</v>
      </c>
      <c r="F26" s="13" t="n">
        <f aca="false">F18+SUM(F20:F25)</f>
        <v>71496.204360161</v>
      </c>
    </row>
    <row r="27" customFormat="false" ht="15" hidden="false" customHeight="false" outlineLevel="0" collapsed="false">
      <c r="B27" s="7" t="s">
        <v>56</v>
      </c>
      <c r="F27" s="17" t="n">
        <f aca="false">Inputs!$C$7*(1-Inputs!$C$8)+Inputs!$C$9</f>
        <v>561.913085362</v>
      </c>
    </row>
    <row r="28" customFormat="false" ht="15" hidden="false" customHeight="false" outlineLevel="0" collapsed="false">
      <c r="B28" s="12" t="s">
        <v>57</v>
      </c>
      <c r="F28" s="18" t="n">
        <f aca="false">F26/F27</f>
        <v>127.23712300471</v>
      </c>
    </row>
    <row r="29" customFormat="false" ht="15" hidden="false" customHeight="false" outlineLevel="0" collapsed="false">
      <c r="B29" s="7" t="s">
        <v>58</v>
      </c>
      <c r="F29" s="19" t="n">
        <f aca="false">Inputs!$C$6</f>
        <v>112.3</v>
      </c>
    </row>
    <row r="30" customFormat="false" ht="15" hidden="false" customHeight="false" outlineLevel="0" collapsed="false">
      <c r="B30" s="12" t="s">
        <v>59</v>
      </c>
      <c r="F30" s="14" t="n">
        <f aca="false">F28/F29-1</f>
        <v>0.133010890513892</v>
      </c>
    </row>
    <row r="33" customFormat="false" ht="15" hidden="false" customHeight="false" outlineLevel="0" collapsed="false">
      <c r="B33" s="12" t="s">
        <v>60</v>
      </c>
    </row>
    <row r="34" customFormat="false" ht="15" hidden="false" customHeight="false" outlineLevel="0" collapsed="false">
      <c r="B34" s="7" t="s">
        <v>22</v>
      </c>
      <c r="F34" s="20" t="n">
        <f aca="false">F6/$F$27</f>
        <v>29.0523870255912</v>
      </c>
    </row>
    <row r="35" customFormat="false" ht="15" hidden="false" customHeight="false" outlineLevel="0" collapsed="false">
      <c r="B35" s="7" t="s">
        <v>25</v>
      </c>
      <c r="F35" s="20" t="n">
        <f aca="false">F7/$F$27</f>
        <v>4.75112138972188</v>
      </c>
    </row>
    <row r="36" customFormat="false" ht="15" hidden="false" customHeight="false" outlineLevel="0" collapsed="false">
      <c r="B36" s="7" t="s">
        <v>27</v>
      </c>
      <c r="F36" s="20" t="n">
        <f aca="false">F8/$F$27</f>
        <v>10.4744977449885</v>
      </c>
    </row>
    <row r="37" customFormat="false" ht="15" hidden="false" customHeight="false" outlineLevel="0" collapsed="false">
      <c r="B37" s="7" t="s">
        <v>29</v>
      </c>
      <c r="F37" s="20" t="n">
        <f aca="false">F9/$F$27</f>
        <v>2.78900233844155</v>
      </c>
    </row>
    <row r="38" customFormat="false" ht="15" hidden="false" customHeight="false" outlineLevel="0" collapsed="false">
      <c r="B38" s="7" t="s">
        <v>31</v>
      </c>
      <c r="F38" s="20" t="n">
        <f aca="false">F10/$F$27</f>
        <v>26.6047079675489</v>
      </c>
    </row>
    <row r="39" customFormat="false" ht="15" hidden="false" customHeight="false" outlineLevel="0" collapsed="false">
      <c r="B39" s="7" t="s">
        <v>34</v>
      </c>
      <c r="F39" s="20" t="n">
        <f aca="false">F11/$F$27</f>
        <v>5.52737457392179</v>
      </c>
    </row>
    <row r="40" customFormat="false" ht="15" hidden="false" customHeight="false" outlineLevel="0" collapsed="false">
      <c r="B40" s="7" t="s">
        <v>36</v>
      </c>
      <c r="F40" s="20" t="n">
        <f aca="false">F12/$F$27</f>
        <v>26.3583622501858</v>
      </c>
    </row>
    <row r="41" customFormat="false" ht="15" hidden="false" customHeight="false" outlineLevel="0" collapsed="false">
      <c r="B41" s="7" t="s">
        <v>38</v>
      </c>
      <c r="F41" s="20" t="n">
        <f aca="false">F13/$F$27</f>
        <v>7.36445074055138</v>
      </c>
    </row>
    <row r="42" customFormat="false" ht="15" hidden="false" customHeight="false" outlineLevel="0" collapsed="false">
      <c r="B42" s="7" t="s">
        <v>40</v>
      </c>
      <c r="F42" s="20" t="n">
        <f aca="false">F14/$F$27</f>
        <v>33.8880945070808</v>
      </c>
    </row>
    <row r="43" customFormat="false" ht="15" hidden="false" customHeight="false" outlineLevel="0" collapsed="false">
      <c r="B43" s="7" t="s">
        <v>43</v>
      </c>
      <c r="F43" s="20" t="n">
        <f aca="false">F15/$F$27</f>
        <v>6.80174984759312</v>
      </c>
    </row>
    <row r="44" customFormat="false" ht="15" hidden="false" customHeight="false" outlineLevel="0" collapsed="false">
      <c r="B44" s="7" t="s">
        <v>44</v>
      </c>
      <c r="F44" s="20" t="n">
        <f aca="false">F16/$F$27</f>
        <v>16.619314618972</v>
      </c>
    </row>
    <row r="45" customFormat="false" ht="15" hidden="false" customHeight="false" outlineLevel="0" collapsed="false">
      <c r="B45" s="7" t="s">
        <v>61</v>
      </c>
      <c r="F45" s="20" t="n">
        <f aca="false">(F17+SUM(F20:F25))/$F$27</f>
        <v>-42.9939399998867</v>
      </c>
    </row>
    <row r="46" customFormat="false" ht="15" hidden="false" customHeight="false" outlineLevel="0" collapsed="false">
      <c r="B46" s="12" t="s">
        <v>62</v>
      </c>
      <c r="F46" s="21" t="n">
        <f aca="false">SUM(F34:F45)</f>
        <v>127.23712300471</v>
      </c>
    </row>
    <row r="48" customFormat="false" ht="15" hidden="false" customHeight="false" outlineLevel="0" collapsed="false">
      <c r="B48" s="22" t="s">
        <v>63</v>
      </c>
      <c r="C48" s="22"/>
      <c r="D48" s="22"/>
      <c r="E48" s="22"/>
      <c r="F48" s="22"/>
    </row>
    <row r="49" customFormat="false" ht="15" hidden="false" customHeight="false" outlineLevel="0" collapsed="false">
      <c r="B49" s="7" t="s">
        <v>64</v>
      </c>
      <c r="F49" s="12" t="str">
        <f aca="false">Inputs!$C$30</f>
        <v>OK</v>
      </c>
    </row>
    <row r="50" customFormat="false" ht="15" hidden="false" customHeight="false" outlineLevel="0" collapsed="false">
      <c r="B50" s="7" t="s">
        <v>65</v>
      </c>
      <c r="F50" s="12" t="str">
        <f aca="false">IF(AND(Autoroutes!$C$43="OK",Autoroutes!$C$85="OK",Autoroutes!$C$127="OK",Autoroutes!$C$169="OK",Airports!$C$43="OK",Airports!$C$85="OK",Airports!$C$127="OK",Other_Concessions!$C$43="OK",Energy_Construction!$C$43="OK",Energy_Construction!$C$85="OK",Energy_Construction!$C$127="OK"),"OK","REVISAR")</f>
        <v>OK</v>
      </c>
    </row>
    <row r="51" customFormat="false" ht="15" hidden="false" customHeight="false" outlineLevel="0" collapsed="false">
      <c r="B51" s="7" t="s">
        <v>66</v>
      </c>
      <c r="F51" s="12" t="str">
        <f aca="false">IF(ABS(F46-F28)&lt;0.01,"OK","REVISAR")</f>
        <v>OK</v>
      </c>
    </row>
    <row r="52" customFormat="false" ht="15" hidden="false" customHeight="false" outlineLevel="0" collapsed="false">
      <c r="B52" s="7" t="s">
        <v>67</v>
      </c>
      <c r="F52" s="12" t="str">
        <f aca="false">IF(ABS(F30)&lt;=0.4,"OK","REVISAR")</f>
        <v>OK</v>
      </c>
    </row>
    <row r="53" customFormat="false" ht="15" hidden="false" customHeight="false" outlineLevel="0" collapsed="false">
      <c r="B53" s="7" t="s">
        <v>68</v>
      </c>
      <c r="F53" s="12" t="str">
        <f aca="false">IF(AND(H18&gt;=6,H18&lt;=14),"OK","REVISAR")</f>
        <v>OK</v>
      </c>
    </row>
    <row r="54" customFormat="false" ht="15" hidden="false" customHeight="false" outlineLevel="0" collapsed="false">
      <c r="B54" s="7" t="s">
        <v>69</v>
      </c>
      <c r="F54" s="12" t="str">
        <f aca="false">IF(Autoroutes!$C$13*Autoroutes!$C$41+Autoroutes!$C$55*Autoroutes!$C$83+Autoroutes!$C$97*Autoroutes!$C$125+Autoroutes!$C$139*Autoroutes!$C$167+Airports!$C$13*Airports!$C$41+Airports!$C$55*Airports!$C$83+Airports!$C$97*Airports!$C$125+Other_Concessions!$C$13*Other_Concessions!$C$41+Energy_Construction!$C$13*Energy_Construction!$C$41+Energy_Construction!$C$55*Energy_Construction!$C$83+Energy_Construction!$C$97*Energy_Construction!$C$125=0,"OK","REVISAR")</f>
        <v>OK</v>
      </c>
    </row>
    <row r="57" customFormat="false" ht="15" hidden="false" customHeight="false" outlineLevel="0" collapsed="false">
      <c r="B57" s="12" t="s">
        <v>70</v>
      </c>
    </row>
    <row r="58" customFormat="false" ht="15" hidden="false" customHeight="false" outlineLevel="0" collapsed="false">
      <c r="C58" s="23" t="n">
        <v>-0.005</v>
      </c>
      <c r="D58" s="23" t="n">
        <v>0</v>
      </c>
      <c r="E58" s="23" t="n">
        <v>0.005</v>
      </c>
    </row>
    <row r="59" customFormat="false" ht="15" hidden="false" customHeight="false" outlineLevel="0" collapsed="false">
      <c r="B59" s="24" t="n">
        <v>-0.01</v>
      </c>
      <c r="C59" s="20" t="n">
        <f aca="false">((SUMPRODUCT(Autoroutes!$D$29:$AV$29/(1+Autoroutes!$C$12+$B59)^Autoroutes!$D$30:$AV$30)+IF(Autoroutes!$C$13=0,Autoroutes!$C$41*(1+Autoroutes!$C$16+C$58)/(Autoroutes!$C$12+$B59-Autoroutes!$C$16-C$58)/(1+Autoroutes!$C$12+$B59)^Autoroutes!$C$42,0))+(SUMPRODUCT(Autoroutes!$D$71:$AV$71/(1+Autoroutes!$C$54+$B59)^Autoroutes!$D$72:$AV$72)+IF(Autoroutes!$C$55=0,Autoroutes!$C$83*(1+Autoroutes!$C$58+C$58)/(Autoroutes!$C$54+$B59-Autoroutes!$C$58-C$58)/(1+Autoroutes!$C$54+$B59)^Autoroutes!$C$84,0))+(SUMPRODUCT(Autoroutes!$D$113:$AV$113/(1+Autoroutes!$C$96+$B59)^Autoroutes!$D$114:$AV$114)+IF(Autoroutes!$C$97=0,Autoroutes!$C$125*(1+Autoroutes!$C$100+C$58)/(Autoroutes!$C$96+$B59-Autoroutes!$C$100-C$58)/(1+Autoroutes!$C$96+$B59)^Autoroutes!$C$126,0))+(SUMPRODUCT(Autoroutes!$D$155:$AV$155/(1+Autoroutes!$C$138+$B59)^Autoroutes!$D$156:$AV$156)+IF(Autoroutes!$C$139=0,Autoroutes!$C$167*(1+Autoroutes!$C$142+C$58)/(Autoroutes!$C$138+$B59-Autoroutes!$C$142-C$58)/(1+Autoroutes!$C$138+$B59)^Autoroutes!$C$168,0))+(SUMPRODUCT(Airports!$D$29:$AV$29/(1+Airports!$C$12+$B59)^Airports!$D$30:$AV$30)+IF(Airports!$C$13=0,Airports!$C$41*(1+Airports!$C$16+C$58)/(Airports!$C$12+$B59-Airports!$C$16-C$58)/(1+Airports!$C$12+$B59)^Airports!$C$42,0))+(SUMPRODUCT(Airports!$D$71:$AV$71/(1+Airports!$C$54+$B59)^Airports!$D$72:$AV$72)+IF(Airports!$C$55=0,Airports!$C$83*(1+Airports!$C$58+C$58)/(Airports!$C$54+$B59-Airports!$C$58-C$58)/(1+Airports!$C$54+$B59)^Airports!$C$84,0))+(SUMPRODUCT(Airports!$D$113:$AV$113/(1+Airports!$C$96+$B59)^Airports!$D$114:$AV$114)+IF(Airports!$C$97=0,Airports!$C$125*(1+Airports!$C$100+C$58)/(Airports!$C$96+$B59-Airports!$C$100-C$58)/(1+Airports!$C$96+$B59)^Airports!$C$126,0))+(SUMPRODUCT(Other_Concessions!$D$29:$AV$29/(1+Other_Concessions!$C$12+$B59)^Other_Concessions!$D$30:$AV$30)+IF(Other_Concessions!$C$13=0,Other_Concessions!$C$41*(1+Other_Concessions!$C$16+C$58)/(Other_Concessions!$C$12+$B59-Other_Concessions!$C$16-C$58)/(1+Other_Concessions!$C$12+$B59)^Other_Concessions!$C$42,0))+(SUMPRODUCT(Energy_Construction!$D$29:$AV$29/(1+Energy_Construction!$C$12+$B59)^Energy_Construction!$D$30:$AV$30)+IF(Energy_Construction!$C$13=0,Energy_Construction!$C$41*(1+Energy_Construction!$C$16+C$58)/(Energy_Construction!$C$12+$B59-Energy_Construction!$C$16-C$58)/(1+Energy_Construction!$C$12+$B59)^Energy_Construction!$C$42,0))+(SUMPRODUCT(Energy_Construction!$D$71:$AV$71/(1+Energy_Construction!$C$54+$B59)^Energy_Construction!$D$72:$AV$72)+IF(Energy_Construction!$C$55=0,Energy_Construction!$C$83*(1+Energy_Construction!$C$58+C$58)/(Energy_Construction!$C$54+$B59-Energy_Construction!$C$58-C$58)/(1+Energy_Construction!$C$54+$B59)^Energy_Construction!$C$84,0))+(SUMPRODUCT(Energy_Construction!$D$113:$AV$113/(1+Energy_Construction!$C$96+$B59)^Energy_Construction!$D$114:$AV$114)+IF(Energy_Construction!$C$97=0,Energy_Construction!$C$125*(1+Energy_Construction!$C$100+C$58)/(Energy_Construction!$C$96+$B59-Energy_Construction!$C$100-C$58)/(1+Energy_Construction!$C$96+$B59)^Energy_Construction!$C$126,0))+(F17+F20+F21+F22+F25)-Inputs!$C$25*MAX(0,(SUMPRODUCT(Airports!$D$29:$AV$29/(1+Airports!$C$12+$B59)^Airports!$D$30:$AV$30)+IF(Airports!$C$13=0,Airports!$C$41*(1+Airports!$C$16+C$58)/(Airports!$C$12+$B59-Airports!$C$16-C$58)/(1+Airports!$C$12+$B59)^Airports!$C$42,0))-Inputs!$C$23)-Inputs!$C$26*MAX(0,(SUMPRODUCT(Airports!$D$71:$AV$71/(1+Airports!$C$54+$B59)^Airports!$D$72:$AV$72)+IF(Airports!$C$55=0,Airports!$C$83*(1+Airports!$C$58+C$58)/(Airports!$C$54+$B59-Airports!$C$58-C$58)/(1+Airports!$C$54+$B59)^Airports!$C$84,0))-Inputs!$C$24))/$F$27</f>
        <v>142.040954114755</v>
      </c>
      <c r="D59" s="20" t="n">
        <f aca="false">((SUMPRODUCT(Autoroutes!$D$29:$AV$29/(1+Autoroutes!$C$12+$B59)^Autoroutes!$D$30:$AV$30)+IF(Autoroutes!$C$13=0,Autoroutes!$C$41*(1+Autoroutes!$C$16+D$58)/(Autoroutes!$C$12+$B59-Autoroutes!$C$16-D$58)/(1+Autoroutes!$C$12+$B59)^Autoroutes!$C$42,0))+(SUMPRODUCT(Autoroutes!$D$71:$AV$71/(1+Autoroutes!$C$54+$B59)^Autoroutes!$D$72:$AV$72)+IF(Autoroutes!$C$55=0,Autoroutes!$C$83*(1+Autoroutes!$C$58+D$58)/(Autoroutes!$C$54+$B59-Autoroutes!$C$58-D$58)/(1+Autoroutes!$C$54+$B59)^Autoroutes!$C$84,0))+(SUMPRODUCT(Autoroutes!$D$113:$AV$113/(1+Autoroutes!$C$96+$B59)^Autoroutes!$D$114:$AV$114)+IF(Autoroutes!$C$97=0,Autoroutes!$C$125*(1+Autoroutes!$C$100+D$58)/(Autoroutes!$C$96+$B59-Autoroutes!$C$100-D$58)/(1+Autoroutes!$C$96+$B59)^Autoroutes!$C$126,0))+(SUMPRODUCT(Autoroutes!$D$155:$AV$155/(1+Autoroutes!$C$138+$B59)^Autoroutes!$D$156:$AV$156)+IF(Autoroutes!$C$139=0,Autoroutes!$C$167*(1+Autoroutes!$C$142+D$58)/(Autoroutes!$C$138+$B59-Autoroutes!$C$142-D$58)/(1+Autoroutes!$C$138+$B59)^Autoroutes!$C$168,0))+(SUMPRODUCT(Airports!$D$29:$AV$29/(1+Airports!$C$12+$B59)^Airports!$D$30:$AV$30)+IF(Airports!$C$13=0,Airports!$C$41*(1+Airports!$C$16+D$58)/(Airports!$C$12+$B59-Airports!$C$16-D$58)/(1+Airports!$C$12+$B59)^Airports!$C$42,0))+(SUMPRODUCT(Airports!$D$71:$AV$71/(1+Airports!$C$54+$B59)^Airports!$D$72:$AV$72)+IF(Airports!$C$55=0,Airports!$C$83*(1+Airports!$C$58+D$58)/(Airports!$C$54+$B59-Airports!$C$58-D$58)/(1+Airports!$C$54+$B59)^Airports!$C$84,0))+(SUMPRODUCT(Airports!$D$113:$AV$113/(1+Airports!$C$96+$B59)^Airports!$D$114:$AV$114)+IF(Airports!$C$97=0,Airports!$C$125*(1+Airports!$C$100+D$58)/(Airports!$C$96+$B59-Airports!$C$100-D$58)/(1+Airports!$C$96+$B59)^Airports!$C$126,0))+(SUMPRODUCT(Other_Concessions!$D$29:$AV$29/(1+Other_Concessions!$C$12+$B59)^Other_Concessions!$D$30:$AV$30)+IF(Other_Concessions!$C$13=0,Other_Concessions!$C$41*(1+Other_Concessions!$C$16+D$58)/(Other_Concessions!$C$12+$B59-Other_Concessions!$C$16-D$58)/(1+Other_Concessions!$C$12+$B59)^Other_Concessions!$C$42,0))+(SUMPRODUCT(Energy_Construction!$D$29:$AV$29/(1+Energy_Construction!$C$12+$B59)^Energy_Construction!$D$30:$AV$30)+IF(Energy_Construction!$C$13=0,Energy_Construction!$C$41*(1+Energy_Construction!$C$16+D$58)/(Energy_Construction!$C$12+$B59-Energy_Construction!$C$16-D$58)/(1+Energy_Construction!$C$12+$B59)^Energy_Construction!$C$42,0))+(SUMPRODUCT(Energy_Construction!$D$71:$AV$71/(1+Energy_Construction!$C$54+$B59)^Energy_Construction!$D$72:$AV$72)+IF(Energy_Construction!$C$55=0,Energy_Construction!$C$83*(1+Energy_Construction!$C$58+D$58)/(Energy_Construction!$C$54+$B59-Energy_Construction!$C$58-D$58)/(1+Energy_Construction!$C$54+$B59)^Energy_Construction!$C$84,0))+(SUMPRODUCT(Energy_Construction!$D$113:$AV$113/(1+Energy_Construction!$C$96+$B59)^Energy_Construction!$D$114:$AV$114)+IF(Energy_Construction!$C$97=0,Energy_Construction!$C$125*(1+Energy_Construction!$C$100+D$58)/(Energy_Construction!$C$96+$B59-Energy_Construction!$C$100-D$58)/(1+Energy_Construction!$C$96+$B59)^Energy_Construction!$C$126,0))+(F17+F20+F21+F22+F25)-Inputs!$C$25*MAX(0,(SUMPRODUCT(Airports!$D$29:$AV$29/(1+Airports!$C$12+$B59)^Airports!$D$30:$AV$30)+IF(Airports!$C$13=0,Airports!$C$41*(1+Airports!$C$16+D$58)/(Airports!$C$12+$B59-Airports!$C$16-D$58)/(1+Airports!$C$12+$B59)^Airports!$C$42,0))-Inputs!$C$23)-Inputs!$C$26*MAX(0,(SUMPRODUCT(Airports!$D$71:$AV$71/(1+Airports!$C$54+$B59)^Airports!$D$72:$AV$72)+IF(Airports!$C$55=0,Airports!$C$83*(1+Airports!$C$58+D$58)/(Airports!$C$54+$B59-Airports!$C$58-D$58)/(1+Airports!$C$54+$B59)^Airports!$C$84,0))-Inputs!$C$24))/$F$27</f>
        <v>149.014288978458</v>
      </c>
      <c r="E59" s="20" t="n">
        <f aca="false">((SUMPRODUCT(Autoroutes!$D$29:$AV$29/(1+Autoroutes!$C$12+$B59)^Autoroutes!$D$30:$AV$30)+IF(Autoroutes!$C$13=0,Autoroutes!$C$41*(1+Autoroutes!$C$16+E$58)/(Autoroutes!$C$12+$B59-Autoroutes!$C$16-E$58)/(1+Autoroutes!$C$12+$B59)^Autoroutes!$C$42,0))+(SUMPRODUCT(Autoroutes!$D$71:$AV$71/(1+Autoroutes!$C$54+$B59)^Autoroutes!$D$72:$AV$72)+IF(Autoroutes!$C$55=0,Autoroutes!$C$83*(1+Autoroutes!$C$58+E$58)/(Autoroutes!$C$54+$B59-Autoroutes!$C$58-E$58)/(1+Autoroutes!$C$54+$B59)^Autoroutes!$C$84,0))+(SUMPRODUCT(Autoroutes!$D$113:$AV$113/(1+Autoroutes!$C$96+$B59)^Autoroutes!$D$114:$AV$114)+IF(Autoroutes!$C$97=0,Autoroutes!$C$125*(1+Autoroutes!$C$100+E$58)/(Autoroutes!$C$96+$B59-Autoroutes!$C$100-E$58)/(1+Autoroutes!$C$96+$B59)^Autoroutes!$C$126,0))+(SUMPRODUCT(Autoroutes!$D$155:$AV$155/(1+Autoroutes!$C$138+$B59)^Autoroutes!$D$156:$AV$156)+IF(Autoroutes!$C$139=0,Autoroutes!$C$167*(1+Autoroutes!$C$142+E$58)/(Autoroutes!$C$138+$B59-Autoroutes!$C$142-E$58)/(1+Autoroutes!$C$138+$B59)^Autoroutes!$C$168,0))+(SUMPRODUCT(Airports!$D$29:$AV$29/(1+Airports!$C$12+$B59)^Airports!$D$30:$AV$30)+IF(Airports!$C$13=0,Airports!$C$41*(1+Airports!$C$16+E$58)/(Airports!$C$12+$B59-Airports!$C$16-E$58)/(1+Airports!$C$12+$B59)^Airports!$C$42,0))+(SUMPRODUCT(Airports!$D$71:$AV$71/(1+Airports!$C$54+$B59)^Airports!$D$72:$AV$72)+IF(Airports!$C$55=0,Airports!$C$83*(1+Airports!$C$58+E$58)/(Airports!$C$54+$B59-Airports!$C$58-E$58)/(1+Airports!$C$54+$B59)^Airports!$C$84,0))+(SUMPRODUCT(Airports!$D$113:$AV$113/(1+Airports!$C$96+$B59)^Airports!$D$114:$AV$114)+IF(Airports!$C$97=0,Airports!$C$125*(1+Airports!$C$100+E$58)/(Airports!$C$96+$B59-Airports!$C$100-E$58)/(1+Airports!$C$96+$B59)^Airports!$C$126,0))+(SUMPRODUCT(Other_Concessions!$D$29:$AV$29/(1+Other_Concessions!$C$12+$B59)^Other_Concessions!$D$30:$AV$30)+IF(Other_Concessions!$C$13=0,Other_Concessions!$C$41*(1+Other_Concessions!$C$16+E$58)/(Other_Concessions!$C$12+$B59-Other_Concessions!$C$16-E$58)/(1+Other_Concessions!$C$12+$B59)^Other_Concessions!$C$42,0))+(SUMPRODUCT(Energy_Construction!$D$29:$AV$29/(1+Energy_Construction!$C$12+$B59)^Energy_Construction!$D$30:$AV$30)+IF(Energy_Construction!$C$13=0,Energy_Construction!$C$41*(1+Energy_Construction!$C$16+E$58)/(Energy_Construction!$C$12+$B59-Energy_Construction!$C$16-E$58)/(1+Energy_Construction!$C$12+$B59)^Energy_Construction!$C$42,0))+(SUMPRODUCT(Energy_Construction!$D$71:$AV$71/(1+Energy_Construction!$C$54+$B59)^Energy_Construction!$D$72:$AV$72)+IF(Energy_Construction!$C$55=0,Energy_Construction!$C$83*(1+Energy_Construction!$C$58+E$58)/(Energy_Construction!$C$54+$B59-Energy_Construction!$C$58-E$58)/(1+Energy_Construction!$C$54+$B59)^Energy_Construction!$C$84,0))+(SUMPRODUCT(Energy_Construction!$D$113:$AV$113/(1+Energy_Construction!$C$96+$B59)^Energy_Construction!$D$114:$AV$114)+IF(Energy_Construction!$C$97=0,Energy_Construction!$C$125*(1+Energy_Construction!$C$100+E$58)/(Energy_Construction!$C$96+$B59-Energy_Construction!$C$100-E$58)/(1+Energy_Construction!$C$96+$B59)^Energy_Construction!$C$126,0))+(F17+F20+F21+F22+F25)-Inputs!$C$25*MAX(0,(SUMPRODUCT(Airports!$D$29:$AV$29/(1+Airports!$C$12+$B59)^Airports!$D$30:$AV$30)+IF(Airports!$C$13=0,Airports!$C$41*(1+Airports!$C$16+E$58)/(Airports!$C$12+$B59-Airports!$C$16-E$58)/(1+Airports!$C$12+$B59)^Airports!$C$42,0))-Inputs!$C$23)-Inputs!$C$26*MAX(0,(SUMPRODUCT(Airports!$D$71:$AV$71/(1+Airports!$C$54+$B59)^Airports!$D$72:$AV$72)+IF(Airports!$C$55=0,Airports!$C$83*(1+Airports!$C$58+E$58)/(Airports!$C$54+$B59-Airports!$C$58-E$58)/(1+Airports!$C$54+$B59)^Airports!$C$84,0))-Inputs!$C$24))/$F$27</f>
        <v>157.601487989051</v>
      </c>
    </row>
    <row r="60" customFormat="false" ht="15" hidden="false" customHeight="false" outlineLevel="0" collapsed="false">
      <c r="B60" s="24" t="n">
        <v>-0.005</v>
      </c>
      <c r="C60" s="20" t="n">
        <f aca="false">((SUMPRODUCT(Autoroutes!$D$29:$AV$29/(1+Autoroutes!$C$12+$B60)^Autoroutes!$D$30:$AV$30)+IF(Autoroutes!$C$13=0,Autoroutes!$C$41*(1+Autoroutes!$C$16+C$58)/(Autoroutes!$C$12+$B60-Autoroutes!$C$16-C$58)/(1+Autoroutes!$C$12+$B60)^Autoroutes!$C$42,0))+(SUMPRODUCT(Autoroutes!$D$71:$AV$71/(1+Autoroutes!$C$54+$B60)^Autoroutes!$D$72:$AV$72)+IF(Autoroutes!$C$55=0,Autoroutes!$C$83*(1+Autoroutes!$C$58+C$58)/(Autoroutes!$C$54+$B60-Autoroutes!$C$58-C$58)/(1+Autoroutes!$C$54+$B60)^Autoroutes!$C$84,0))+(SUMPRODUCT(Autoroutes!$D$113:$AV$113/(1+Autoroutes!$C$96+$B60)^Autoroutes!$D$114:$AV$114)+IF(Autoroutes!$C$97=0,Autoroutes!$C$125*(1+Autoroutes!$C$100+C$58)/(Autoroutes!$C$96+$B60-Autoroutes!$C$100-C$58)/(1+Autoroutes!$C$96+$B60)^Autoroutes!$C$126,0))+(SUMPRODUCT(Autoroutes!$D$155:$AV$155/(1+Autoroutes!$C$138+$B60)^Autoroutes!$D$156:$AV$156)+IF(Autoroutes!$C$139=0,Autoroutes!$C$167*(1+Autoroutes!$C$142+C$58)/(Autoroutes!$C$138+$B60-Autoroutes!$C$142-C$58)/(1+Autoroutes!$C$138+$B60)^Autoroutes!$C$168,0))+(SUMPRODUCT(Airports!$D$29:$AV$29/(1+Airports!$C$12+$B60)^Airports!$D$30:$AV$30)+IF(Airports!$C$13=0,Airports!$C$41*(1+Airports!$C$16+C$58)/(Airports!$C$12+$B60-Airports!$C$16-C$58)/(1+Airports!$C$12+$B60)^Airports!$C$42,0))+(SUMPRODUCT(Airports!$D$71:$AV$71/(1+Airports!$C$54+$B60)^Airports!$D$72:$AV$72)+IF(Airports!$C$55=0,Airports!$C$83*(1+Airports!$C$58+C$58)/(Airports!$C$54+$B60-Airports!$C$58-C$58)/(1+Airports!$C$54+$B60)^Airports!$C$84,0))+(SUMPRODUCT(Airports!$D$113:$AV$113/(1+Airports!$C$96+$B60)^Airports!$D$114:$AV$114)+IF(Airports!$C$97=0,Airports!$C$125*(1+Airports!$C$100+C$58)/(Airports!$C$96+$B60-Airports!$C$100-C$58)/(1+Airports!$C$96+$B60)^Airports!$C$126,0))+(SUMPRODUCT(Other_Concessions!$D$29:$AV$29/(1+Other_Concessions!$C$12+$B60)^Other_Concessions!$D$30:$AV$30)+IF(Other_Concessions!$C$13=0,Other_Concessions!$C$41*(1+Other_Concessions!$C$16+C$58)/(Other_Concessions!$C$12+$B60-Other_Concessions!$C$16-C$58)/(1+Other_Concessions!$C$12+$B60)^Other_Concessions!$C$42,0))+(SUMPRODUCT(Energy_Construction!$D$29:$AV$29/(1+Energy_Construction!$C$12+$B60)^Energy_Construction!$D$30:$AV$30)+IF(Energy_Construction!$C$13=0,Energy_Construction!$C$41*(1+Energy_Construction!$C$16+C$58)/(Energy_Construction!$C$12+$B60-Energy_Construction!$C$16-C$58)/(1+Energy_Construction!$C$12+$B60)^Energy_Construction!$C$42,0))+(SUMPRODUCT(Energy_Construction!$D$71:$AV$71/(1+Energy_Construction!$C$54+$B60)^Energy_Construction!$D$72:$AV$72)+IF(Energy_Construction!$C$55=0,Energy_Construction!$C$83*(1+Energy_Construction!$C$58+C$58)/(Energy_Construction!$C$54+$B60-Energy_Construction!$C$58-C$58)/(1+Energy_Construction!$C$54+$B60)^Energy_Construction!$C$84,0))+(SUMPRODUCT(Energy_Construction!$D$113:$AV$113/(1+Energy_Construction!$C$96+$B60)^Energy_Construction!$D$114:$AV$114)+IF(Energy_Construction!$C$97=0,Energy_Construction!$C$125*(1+Energy_Construction!$C$100+C$58)/(Energy_Construction!$C$96+$B60-Energy_Construction!$C$100-C$58)/(1+Energy_Construction!$C$96+$B60)^Energy_Construction!$C$126,0))+(F17+F20+F21+F22+F25)-Inputs!$C$25*MAX(0,(SUMPRODUCT(Airports!$D$29:$AV$29/(1+Airports!$C$12+$B60)^Airports!$D$30:$AV$30)+IF(Airports!$C$13=0,Airports!$C$41*(1+Airports!$C$16+C$58)/(Airports!$C$12+$B60-Airports!$C$16-C$58)/(1+Airports!$C$12+$B60)^Airports!$C$42,0))-Inputs!$C$23)-Inputs!$C$26*MAX(0,(SUMPRODUCT(Airports!$D$71:$AV$71/(1+Airports!$C$54+$B60)^Airports!$D$72:$AV$72)+IF(Airports!$C$55=0,Airports!$C$83*(1+Airports!$C$58+C$58)/(Airports!$C$54+$B60-Airports!$C$58-C$58)/(1+Airports!$C$54+$B60)^Airports!$C$84,0))-Inputs!$C$24))/$F$27</f>
        <v>131.609490033716</v>
      </c>
      <c r="D60" s="20" t="n">
        <f aca="false">((SUMPRODUCT(Autoroutes!$D$29:$AV$29/(1+Autoroutes!$C$12+$B60)^Autoroutes!$D$30:$AV$30)+IF(Autoroutes!$C$13=0,Autoroutes!$C$41*(1+Autoroutes!$C$16+D$58)/(Autoroutes!$C$12+$B60-Autoroutes!$C$16-D$58)/(1+Autoroutes!$C$12+$B60)^Autoroutes!$C$42,0))+(SUMPRODUCT(Autoroutes!$D$71:$AV$71/(1+Autoroutes!$C$54+$B60)^Autoroutes!$D$72:$AV$72)+IF(Autoroutes!$C$55=0,Autoroutes!$C$83*(1+Autoroutes!$C$58+D$58)/(Autoroutes!$C$54+$B60-Autoroutes!$C$58-D$58)/(1+Autoroutes!$C$54+$B60)^Autoroutes!$C$84,0))+(SUMPRODUCT(Autoroutes!$D$113:$AV$113/(1+Autoroutes!$C$96+$B60)^Autoroutes!$D$114:$AV$114)+IF(Autoroutes!$C$97=0,Autoroutes!$C$125*(1+Autoroutes!$C$100+D$58)/(Autoroutes!$C$96+$B60-Autoroutes!$C$100-D$58)/(1+Autoroutes!$C$96+$B60)^Autoroutes!$C$126,0))+(SUMPRODUCT(Autoroutes!$D$155:$AV$155/(1+Autoroutes!$C$138+$B60)^Autoroutes!$D$156:$AV$156)+IF(Autoroutes!$C$139=0,Autoroutes!$C$167*(1+Autoroutes!$C$142+D$58)/(Autoroutes!$C$138+$B60-Autoroutes!$C$142-D$58)/(1+Autoroutes!$C$138+$B60)^Autoroutes!$C$168,0))+(SUMPRODUCT(Airports!$D$29:$AV$29/(1+Airports!$C$12+$B60)^Airports!$D$30:$AV$30)+IF(Airports!$C$13=0,Airports!$C$41*(1+Airports!$C$16+D$58)/(Airports!$C$12+$B60-Airports!$C$16-D$58)/(1+Airports!$C$12+$B60)^Airports!$C$42,0))+(SUMPRODUCT(Airports!$D$71:$AV$71/(1+Airports!$C$54+$B60)^Airports!$D$72:$AV$72)+IF(Airports!$C$55=0,Airports!$C$83*(1+Airports!$C$58+D$58)/(Airports!$C$54+$B60-Airports!$C$58-D$58)/(1+Airports!$C$54+$B60)^Airports!$C$84,0))+(SUMPRODUCT(Airports!$D$113:$AV$113/(1+Airports!$C$96+$B60)^Airports!$D$114:$AV$114)+IF(Airports!$C$97=0,Airports!$C$125*(1+Airports!$C$100+D$58)/(Airports!$C$96+$B60-Airports!$C$100-D$58)/(1+Airports!$C$96+$B60)^Airports!$C$126,0))+(SUMPRODUCT(Other_Concessions!$D$29:$AV$29/(1+Other_Concessions!$C$12+$B60)^Other_Concessions!$D$30:$AV$30)+IF(Other_Concessions!$C$13=0,Other_Concessions!$C$41*(1+Other_Concessions!$C$16+D$58)/(Other_Concessions!$C$12+$B60-Other_Concessions!$C$16-D$58)/(1+Other_Concessions!$C$12+$B60)^Other_Concessions!$C$42,0))+(SUMPRODUCT(Energy_Construction!$D$29:$AV$29/(1+Energy_Construction!$C$12+$B60)^Energy_Construction!$D$30:$AV$30)+IF(Energy_Construction!$C$13=0,Energy_Construction!$C$41*(1+Energy_Construction!$C$16+D$58)/(Energy_Construction!$C$12+$B60-Energy_Construction!$C$16-D$58)/(1+Energy_Construction!$C$12+$B60)^Energy_Construction!$C$42,0))+(SUMPRODUCT(Energy_Construction!$D$71:$AV$71/(1+Energy_Construction!$C$54+$B60)^Energy_Construction!$D$72:$AV$72)+IF(Energy_Construction!$C$55=0,Energy_Construction!$C$83*(1+Energy_Construction!$C$58+D$58)/(Energy_Construction!$C$54+$B60-Energy_Construction!$C$58-D$58)/(1+Energy_Construction!$C$54+$B60)^Energy_Construction!$C$84,0))+(SUMPRODUCT(Energy_Construction!$D$113:$AV$113/(1+Energy_Construction!$C$96+$B60)^Energy_Construction!$D$114:$AV$114)+IF(Energy_Construction!$C$97=0,Energy_Construction!$C$125*(1+Energy_Construction!$C$100+D$58)/(Energy_Construction!$C$96+$B60-Energy_Construction!$C$100-D$58)/(1+Energy_Construction!$C$96+$B60)^Energy_Construction!$C$126,0))+(F17+F20+F21+F22+F25)-Inputs!$C$25*MAX(0,(SUMPRODUCT(Airports!$D$29:$AV$29/(1+Airports!$C$12+$B60)^Airports!$D$30:$AV$30)+IF(Airports!$C$13=0,Airports!$C$41*(1+Airports!$C$16+D$58)/(Airports!$C$12+$B60-Airports!$C$16-D$58)/(1+Airports!$C$12+$B60)^Airports!$C$42,0))-Inputs!$C$23)-Inputs!$C$26*MAX(0,(SUMPRODUCT(Airports!$D$71:$AV$71/(1+Airports!$C$54+$B60)^Airports!$D$72:$AV$72)+IF(Airports!$C$55=0,Airports!$C$83*(1+Airports!$C$58+D$58)/(Airports!$C$54+$B60-Airports!$C$58-D$58)/(1+Airports!$C$54+$B60)^Airports!$C$84,0))-Inputs!$C$24))/$F$27</f>
        <v>137.28477734334</v>
      </c>
      <c r="E60" s="20" t="n">
        <f aca="false">((SUMPRODUCT(Autoroutes!$D$29:$AV$29/(1+Autoroutes!$C$12+$B60)^Autoroutes!$D$30:$AV$30)+IF(Autoroutes!$C$13=0,Autoroutes!$C$41*(1+Autoroutes!$C$16+E$58)/(Autoroutes!$C$12+$B60-Autoroutes!$C$16-E$58)/(1+Autoroutes!$C$12+$B60)^Autoroutes!$C$42,0))+(SUMPRODUCT(Autoroutes!$D$71:$AV$71/(1+Autoroutes!$C$54+$B60)^Autoroutes!$D$72:$AV$72)+IF(Autoroutes!$C$55=0,Autoroutes!$C$83*(1+Autoroutes!$C$58+E$58)/(Autoroutes!$C$54+$B60-Autoroutes!$C$58-E$58)/(1+Autoroutes!$C$54+$B60)^Autoroutes!$C$84,0))+(SUMPRODUCT(Autoroutes!$D$113:$AV$113/(1+Autoroutes!$C$96+$B60)^Autoroutes!$D$114:$AV$114)+IF(Autoroutes!$C$97=0,Autoroutes!$C$125*(1+Autoroutes!$C$100+E$58)/(Autoroutes!$C$96+$B60-Autoroutes!$C$100-E$58)/(1+Autoroutes!$C$96+$B60)^Autoroutes!$C$126,0))+(SUMPRODUCT(Autoroutes!$D$155:$AV$155/(1+Autoroutes!$C$138+$B60)^Autoroutes!$D$156:$AV$156)+IF(Autoroutes!$C$139=0,Autoroutes!$C$167*(1+Autoroutes!$C$142+E$58)/(Autoroutes!$C$138+$B60-Autoroutes!$C$142-E$58)/(1+Autoroutes!$C$138+$B60)^Autoroutes!$C$168,0))+(SUMPRODUCT(Airports!$D$29:$AV$29/(1+Airports!$C$12+$B60)^Airports!$D$30:$AV$30)+IF(Airports!$C$13=0,Airports!$C$41*(1+Airports!$C$16+E$58)/(Airports!$C$12+$B60-Airports!$C$16-E$58)/(1+Airports!$C$12+$B60)^Airports!$C$42,0))+(SUMPRODUCT(Airports!$D$71:$AV$71/(1+Airports!$C$54+$B60)^Airports!$D$72:$AV$72)+IF(Airports!$C$55=0,Airports!$C$83*(1+Airports!$C$58+E$58)/(Airports!$C$54+$B60-Airports!$C$58-E$58)/(1+Airports!$C$54+$B60)^Airports!$C$84,0))+(SUMPRODUCT(Airports!$D$113:$AV$113/(1+Airports!$C$96+$B60)^Airports!$D$114:$AV$114)+IF(Airports!$C$97=0,Airports!$C$125*(1+Airports!$C$100+E$58)/(Airports!$C$96+$B60-Airports!$C$100-E$58)/(1+Airports!$C$96+$B60)^Airports!$C$126,0))+(SUMPRODUCT(Other_Concessions!$D$29:$AV$29/(1+Other_Concessions!$C$12+$B60)^Other_Concessions!$D$30:$AV$30)+IF(Other_Concessions!$C$13=0,Other_Concessions!$C$41*(1+Other_Concessions!$C$16+E$58)/(Other_Concessions!$C$12+$B60-Other_Concessions!$C$16-E$58)/(1+Other_Concessions!$C$12+$B60)^Other_Concessions!$C$42,0))+(SUMPRODUCT(Energy_Construction!$D$29:$AV$29/(1+Energy_Construction!$C$12+$B60)^Energy_Construction!$D$30:$AV$30)+IF(Energy_Construction!$C$13=0,Energy_Construction!$C$41*(1+Energy_Construction!$C$16+E$58)/(Energy_Construction!$C$12+$B60-Energy_Construction!$C$16-E$58)/(1+Energy_Construction!$C$12+$B60)^Energy_Construction!$C$42,0))+(SUMPRODUCT(Energy_Construction!$D$71:$AV$71/(1+Energy_Construction!$C$54+$B60)^Energy_Construction!$D$72:$AV$72)+IF(Energy_Construction!$C$55=0,Energy_Construction!$C$83*(1+Energy_Construction!$C$58+E$58)/(Energy_Construction!$C$54+$B60-Energy_Construction!$C$58-E$58)/(1+Energy_Construction!$C$54+$B60)^Energy_Construction!$C$84,0))+(SUMPRODUCT(Energy_Construction!$D$113:$AV$113/(1+Energy_Construction!$C$96+$B60)^Energy_Construction!$D$114:$AV$114)+IF(Energy_Construction!$C$97=0,Energy_Construction!$C$125*(1+Energy_Construction!$C$100+E$58)/(Energy_Construction!$C$96+$B60-Energy_Construction!$C$100-E$58)/(1+Energy_Construction!$C$96+$B60)^Energy_Construction!$C$126,0))+(F17+F20+F21+F22+F25)-Inputs!$C$25*MAX(0,(SUMPRODUCT(Airports!$D$29:$AV$29/(1+Airports!$C$12+$B60)^Airports!$D$30:$AV$30)+IF(Airports!$C$13=0,Airports!$C$41*(1+Airports!$C$16+E$58)/(Airports!$C$12+$B60-Airports!$C$16-E$58)/(1+Airports!$C$12+$B60)^Airports!$C$42,0))-Inputs!$C$23)-Inputs!$C$26*MAX(0,(SUMPRODUCT(Airports!$D$71:$AV$71/(1+Airports!$C$54+$B60)^Airports!$D$72:$AV$72)+IF(Airports!$C$55=0,Airports!$C$83*(1+Airports!$C$58+E$58)/(Airports!$C$54+$B60-Airports!$C$58-E$58)/(1+Airports!$C$54+$B60)^Airports!$C$84,0))-Inputs!$C$24))/$F$27</f>
        <v>144.133019255347</v>
      </c>
    </row>
    <row r="61" customFormat="false" ht="15" hidden="false" customHeight="false" outlineLevel="0" collapsed="false">
      <c r="B61" s="24" t="n">
        <v>0</v>
      </c>
      <c r="C61" s="20" t="n">
        <f aca="false">((SUMPRODUCT(Autoroutes!$D$29:$AV$29/(1+Autoroutes!$C$12+$B61)^Autoroutes!$D$30:$AV$30)+IF(Autoroutes!$C$13=0,Autoroutes!$C$41*(1+Autoroutes!$C$16+C$58)/(Autoroutes!$C$12+$B61-Autoroutes!$C$16-C$58)/(1+Autoroutes!$C$12+$B61)^Autoroutes!$C$42,0))+(SUMPRODUCT(Autoroutes!$D$71:$AV$71/(1+Autoroutes!$C$54+$B61)^Autoroutes!$D$72:$AV$72)+IF(Autoroutes!$C$55=0,Autoroutes!$C$83*(1+Autoroutes!$C$58+C$58)/(Autoroutes!$C$54+$B61-Autoroutes!$C$58-C$58)/(1+Autoroutes!$C$54+$B61)^Autoroutes!$C$84,0))+(SUMPRODUCT(Autoroutes!$D$113:$AV$113/(1+Autoroutes!$C$96+$B61)^Autoroutes!$D$114:$AV$114)+IF(Autoroutes!$C$97=0,Autoroutes!$C$125*(1+Autoroutes!$C$100+C$58)/(Autoroutes!$C$96+$B61-Autoroutes!$C$100-C$58)/(1+Autoroutes!$C$96+$B61)^Autoroutes!$C$126,0))+(SUMPRODUCT(Autoroutes!$D$155:$AV$155/(1+Autoroutes!$C$138+$B61)^Autoroutes!$D$156:$AV$156)+IF(Autoroutes!$C$139=0,Autoroutes!$C$167*(1+Autoroutes!$C$142+C$58)/(Autoroutes!$C$138+$B61-Autoroutes!$C$142-C$58)/(1+Autoroutes!$C$138+$B61)^Autoroutes!$C$168,0))+(SUMPRODUCT(Airports!$D$29:$AV$29/(1+Airports!$C$12+$B61)^Airports!$D$30:$AV$30)+IF(Airports!$C$13=0,Airports!$C$41*(1+Airports!$C$16+C$58)/(Airports!$C$12+$B61-Airports!$C$16-C$58)/(1+Airports!$C$12+$B61)^Airports!$C$42,0))+(SUMPRODUCT(Airports!$D$71:$AV$71/(1+Airports!$C$54+$B61)^Airports!$D$72:$AV$72)+IF(Airports!$C$55=0,Airports!$C$83*(1+Airports!$C$58+C$58)/(Airports!$C$54+$B61-Airports!$C$58-C$58)/(1+Airports!$C$54+$B61)^Airports!$C$84,0))+(SUMPRODUCT(Airports!$D$113:$AV$113/(1+Airports!$C$96+$B61)^Airports!$D$114:$AV$114)+IF(Airports!$C$97=0,Airports!$C$125*(1+Airports!$C$100+C$58)/(Airports!$C$96+$B61-Airports!$C$100-C$58)/(1+Airports!$C$96+$B61)^Airports!$C$126,0))+(SUMPRODUCT(Other_Concessions!$D$29:$AV$29/(1+Other_Concessions!$C$12+$B61)^Other_Concessions!$D$30:$AV$30)+IF(Other_Concessions!$C$13=0,Other_Concessions!$C$41*(1+Other_Concessions!$C$16+C$58)/(Other_Concessions!$C$12+$B61-Other_Concessions!$C$16-C$58)/(1+Other_Concessions!$C$12+$B61)^Other_Concessions!$C$42,0))+(SUMPRODUCT(Energy_Construction!$D$29:$AV$29/(1+Energy_Construction!$C$12+$B61)^Energy_Construction!$D$30:$AV$30)+IF(Energy_Construction!$C$13=0,Energy_Construction!$C$41*(1+Energy_Construction!$C$16+C$58)/(Energy_Construction!$C$12+$B61-Energy_Construction!$C$16-C$58)/(1+Energy_Construction!$C$12+$B61)^Energy_Construction!$C$42,0))+(SUMPRODUCT(Energy_Construction!$D$71:$AV$71/(1+Energy_Construction!$C$54+$B61)^Energy_Construction!$D$72:$AV$72)+IF(Energy_Construction!$C$55=0,Energy_Construction!$C$83*(1+Energy_Construction!$C$58+C$58)/(Energy_Construction!$C$54+$B61-Energy_Construction!$C$58-C$58)/(1+Energy_Construction!$C$54+$B61)^Energy_Construction!$C$84,0))+(SUMPRODUCT(Energy_Construction!$D$113:$AV$113/(1+Energy_Construction!$C$96+$B61)^Energy_Construction!$D$114:$AV$114)+IF(Energy_Construction!$C$97=0,Energy_Construction!$C$125*(1+Energy_Construction!$C$100+C$58)/(Energy_Construction!$C$96+$B61-Energy_Construction!$C$100-C$58)/(1+Energy_Construction!$C$96+$B61)^Energy_Construction!$C$126,0))+(F17+F20+F21+F22+F25)-Inputs!$C$25*MAX(0,(SUMPRODUCT(Airports!$D$29:$AV$29/(1+Airports!$C$12+$B61)^Airports!$D$30:$AV$30)+IF(Airports!$C$13=0,Airports!$C$41*(1+Airports!$C$16+C$58)/(Airports!$C$12+$B61-Airports!$C$16-C$58)/(1+Airports!$C$12+$B61)^Airports!$C$42,0))-Inputs!$C$23)-Inputs!$C$26*MAX(0,(SUMPRODUCT(Airports!$D$71:$AV$71/(1+Airports!$C$54+$B61)^Airports!$D$72:$AV$72)+IF(Airports!$C$55=0,Airports!$C$83*(1+Airports!$C$58+C$58)/(Airports!$C$54+$B61-Airports!$C$58-C$58)/(1+Airports!$C$54+$B61)^Airports!$C$84,0))-Inputs!$C$24))/$F$27</f>
        <v>122.539831479288</v>
      </c>
      <c r="D61" s="20" t="n">
        <f aca="false">((SUMPRODUCT(Autoroutes!$D$29:$AV$29/(1+Autoroutes!$C$12+$B61)^Autoroutes!$D$30:$AV$30)+IF(Autoroutes!$C$13=0,Autoroutes!$C$41*(1+Autoroutes!$C$16+D$58)/(Autoroutes!$C$12+$B61-Autoroutes!$C$16-D$58)/(1+Autoroutes!$C$12+$B61)^Autoroutes!$C$42,0))+(SUMPRODUCT(Autoroutes!$D$71:$AV$71/(1+Autoroutes!$C$54+$B61)^Autoroutes!$D$72:$AV$72)+IF(Autoroutes!$C$55=0,Autoroutes!$C$83*(1+Autoroutes!$C$58+D$58)/(Autoroutes!$C$54+$B61-Autoroutes!$C$58-D$58)/(1+Autoroutes!$C$54+$B61)^Autoroutes!$C$84,0))+(SUMPRODUCT(Autoroutes!$D$113:$AV$113/(1+Autoroutes!$C$96+$B61)^Autoroutes!$D$114:$AV$114)+IF(Autoroutes!$C$97=0,Autoroutes!$C$125*(1+Autoroutes!$C$100+D$58)/(Autoroutes!$C$96+$B61-Autoroutes!$C$100-D$58)/(1+Autoroutes!$C$96+$B61)^Autoroutes!$C$126,0))+(SUMPRODUCT(Autoroutes!$D$155:$AV$155/(1+Autoroutes!$C$138+$B61)^Autoroutes!$D$156:$AV$156)+IF(Autoroutes!$C$139=0,Autoroutes!$C$167*(1+Autoroutes!$C$142+D$58)/(Autoroutes!$C$138+$B61-Autoroutes!$C$142-D$58)/(1+Autoroutes!$C$138+$B61)^Autoroutes!$C$168,0))+(SUMPRODUCT(Airports!$D$29:$AV$29/(1+Airports!$C$12+$B61)^Airports!$D$30:$AV$30)+IF(Airports!$C$13=0,Airports!$C$41*(1+Airports!$C$16+D$58)/(Airports!$C$12+$B61-Airports!$C$16-D$58)/(1+Airports!$C$12+$B61)^Airports!$C$42,0))+(SUMPRODUCT(Airports!$D$71:$AV$71/(1+Airports!$C$54+$B61)^Airports!$D$72:$AV$72)+IF(Airports!$C$55=0,Airports!$C$83*(1+Airports!$C$58+D$58)/(Airports!$C$54+$B61-Airports!$C$58-D$58)/(1+Airports!$C$54+$B61)^Airports!$C$84,0))+(SUMPRODUCT(Airports!$D$113:$AV$113/(1+Airports!$C$96+$B61)^Airports!$D$114:$AV$114)+IF(Airports!$C$97=0,Airports!$C$125*(1+Airports!$C$100+D$58)/(Airports!$C$96+$B61-Airports!$C$100-D$58)/(1+Airports!$C$96+$B61)^Airports!$C$126,0))+(SUMPRODUCT(Other_Concessions!$D$29:$AV$29/(1+Other_Concessions!$C$12+$B61)^Other_Concessions!$D$30:$AV$30)+IF(Other_Concessions!$C$13=0,Other_Concessions!$C$41*(1+Other_Concessions!$C$16+D$58)/(Other_Concessions!$C$12+$B61-Other_Concessions!$C$16-D$58)/(1+Other_Concessions!$C$12+$B61)^Other_Concessions!$C$42,0))+(SUMPRODUCT(Energy_Construction!$D$29:$AV$29/(1+Energy_Construction!$C$12+$B61)^Energy_Construction!$D$30:$AV$30)+IF(Energy_Construction!$C$13=0,Energy_Construction!$C$41*(1+Energy_Construction!$C$16+D$58)/(Energy_Construction!$C$12+$B61-Energy_Construction!$C$16-D$58)/(1+Energy_Construction!$C$12+$B61)^Energy_Construction!$C$42,0))+(SUMPRODUCT(Energy_Construction!$D$71:$AV$71/(1+Energy_Construction!$C$54+$B61)^Energy_Construction!$D$72:$AV$72)+IF(Energy_Construction!$C$55=0,Energy_Construction!$C$83*(1+Energy_Construction!$C$58+D$58)/(Energy_Construction!$C$54+$B61-Energy_Construction!$C$58-D$58)/(1+Energy_Construction!$C$54+$B61)^Energy_Construction!$C$84,0))+(SUMPRODUCT(Energy_Construction!$D$113:$AV$113/(1+Energy_Construction!$C$96+$B61)^Energy_Construction!$D$114:$AV$114)+IF(Energy_Construction!$C$97=0,Energy_Construction!$C$125*(1+Energy_Construction!$C$100+D$58)/(Energy_Construction!$C$96+$B61-Energy_Construction!$C$100-D$58)/(1+Energy_Construction!$C$96+$B61)^Energy_Construction!$C$126,0))+(F17+F20+F21+F22+F25)-Inputs!$C$25*MAX(0,(SUMPRODUCT(Airports!$D$29:$AV$29/(1+Airports!$C$12+$B61)^Airports!$D$30:$AV$30)+IF(Airports!$C$13=0,Airports!$C$41*(1+Airports!$C$16+D$58)/(Airports!$C$12+$B61-Airports!$C$16-D$58)/(1+Airports!$C$12+$B61)^Airports!$C$42,0))-Inputs!$C$23)-Inputs!$C$26*MAX(0,(SUMPRODUCT(Airports!$D$71:$AV$71/(1+Airports!$C$54+$B61)^Airports!$D$72:$AV$72)+IF(Airports!$C$55=0,Airports!$C$83*(1+Airports!$C$58+D$58)/(Airports!$C$54+$B61-Airports!$C$58-D$58)/(1+Airports!$C$54+$B61)^Airports!$C$84,0))-Inputs!$C$24))/$F$27</f>
        <v>127.23712300471</v>
      </c>
      <c r="E61" s="20" t="n">
        <f aca="false">((SUMPRODUCT(Autoroutes!$D$29:$AV$29/(1+Autoroutes!$C$12+$B61)^Autoroutes!$D$30:$AV$30)+IF(Autoroutes!$C$13=0,Autoroutes!$C$41*(1+Autoroutes!$C$16+E$58)/(Autoroutes!$C$12+$B61-Autoroutes!$C$16-E$58)/(1+Autoroutes!$C$12+$B61)^Autoroutes!$C$42,0))+(SUMPRODUCT(Autoroutes!$D$71:$AV$71/(1+Autoroutes!$C$54+$B61)^Autoroutes!$D$72:$AV$72)+IF(Autoroutes!$C$55=0,Autoroutes!$C$83*(1+Autoroutes!$C$58+E$58)/(Autoroutes!$C$54+$B61-Autoroutes!$C$58-E$58)/(1+Autoroutes!$C$54+$B61)^Autoroutes!$C$84,0))+(SUMPRODUCT(Autoroutes!$D$113:$AV$113/(1+Autoroutes!$C$96+$B61)^Autoroutes!$D$114:$AV$114)+IF(Autoroutes!$C$97=0,Autoroutes!$C$125*(1+Autoroutes!$C$100+E$58)/(Autoroutes!$C$96+$B61-Autoroutes!$C$100-E$58)/(1+Autoroutes!$C$96+$B61)^Autoroutes!$C$126,0))+(SUMPRODUCT(Autoroutes!$D$155:$AV$155/(1+Autoroutes!$C$138+$B61)^Autoroutes!$D$156:$AV$156)+IF(Autoroutes!$C$139=0,Autoroutes!$C$167*(1+Autoroutes!$C$142+E$58)/(Autoroutes!$C$138+$B61-Autoroutes!$C$142-E$58)/(1+Autoroutes!$C$138+$B61)^Autoroutes!$C$168,0))+(SUMPRODUCT(Airports!$D$29:$AV$29/(1+Airports!$C$12+$B61)^Airports!$D$30:$AV$30)+IF(Airports!$C$13=0,Airports!$C$41*(1+Airports!$C$16+E$58)/(Airports!$C$12+$B61-Airports!$C$16-E$58)/(1+Airports!$C$12+$B61)^Airports!$C$42,0))+(SUMPRODUCT(Airports!$D$71:$AV$71/(1+Airports!$C$54+$B61)^Airports!$D$72:$AV$72)+IF(Airports!$C$55=0,Airports!$C$83*(1+Airports!$C$58+E$58)/(Airports!$C$54+$B61-Airports!$C$58-E$58)/(1+Airports!$C$54+$B61)^Airports!$C$84,0))+(SUMPRODUCT(Airports!$D$113:$AV$113/(1+Airports!$C$96+$B61)^Airports!$D$114:$AV$114)+IF(Airports!$C$97=0,Airports!$C$125*(1+Airports!$C$100+E$58)/(Airports!$C$96+$B61-Airports!$C$100-E$58)/(1+Airports!$C$96+$B61)^Airports!$C$126,0))+(SUMPRODUCT(Other_Concessions!$D$29:$AV$29/(1+Other_Concessions!$C$12+$B61)^Other_Concessions!$D$30:$AV$30)+IF(Other_Concessions!$C$13=0,Other_Concessions!$C$41*(1+Other_Concessions!$C$16+E$58)/(Other_Concessions!$C$12+$B61-Other_Concessions!$C$16-E$58)/(1+Other_Concessions!$C$12+$B61)^Other_Concessions!$C$42,0))+(SUMPRODUCT(Energy_Construction!$D$29:$AV$29/(1+Energy_Construction!$C$12+$B61)^Energy_Construction!$D$30:$AV$30)+IF(Energy_Construction!$C$13=0,Energy_Construction!$C$41*(1+Energy_Construction!$C$16+E$58)/(Energy_Construction!$C$12+$B61-Energy_Construction!$C$16-E$58)/(1+Energy_Construction!$C$12+$B61)^Energy_Construction!$C$42,0))+(SUMPRODUCT(Energy_Construction!$D$71:$AV$71/(1+Energy_Construction!$C$54+$B61)^Energy_Construction!$D$72:$AV$72)+IF(Energy_Construction!$C$55=0,Energy_Construction!$C$83*(1+Energy_Construction!$C$58+E$58)/(Energy_Construction!$C$54+$B61-Energy_Construction!$C$58-E$58)/(1+Energy_Construction!$C$54+$B61)^Energy_Construction!$C$84,0))+(SUMPRODUCT(Energy_Construction!$D$113:$AV$113/(1+Energy_Construction!$C$96+$B61)^Energy_Construction!$D$114:$AV$114)+IF(Energy_Construction!$C$97=0,Energy_Construction!$C$125*(1+Energy_Construction!$C$100+E$58)/(Energy_Construction!$C$96+$B61-Energy_Construction!$C$100-E$58)/(1+Energy_Construction!$C$96+$B61)^Energy_Construction!$C$126,0))+(F17+F20+F21+F22+F25)-Inputs!$C$25*MAX(0,(SUMPRODUCT(Airports!$D$29:$AV$29/(1+Airports!$C$12+$B61)^Airports!$D$30:$AV$30)+IF(Airports!$C$13=0,Airports!$C$41*(1+Airports!$C$16+E$58)/(Airports!$C$12+$B61-Airports!$C$16-E$58)/(1+Airports!$C$12+$B61)^Airports!$C$42,0))-Inputs!$C$23)-Inputs!$C$26*MAX(0,(SUMPRODUCT(Airports!$D$71:$AV$71/(1+Airports!$C$54+$B61)^Airports!$D$72:$AV$72)+IF(Airports!$C$55=0,Airports!$C$83*(1+Airports!$C$58+E$58)/(Airports!$C$54+$B61-Airports!$C$58-E$58)/(1+Airports!$C$54+$B61)^Airports!$C$84,0))-Inputs!$C$24))/$F$27</f>
        <v>132.811792345209</v>
      </c>
      <c r="F61" s="12" t="str">
        <f aca="false">IF(ABS(D61-F28)&lt;0.01,"OK","REVISAR")</f>
        <v>OK</v>
      </c>
    </row>
    <row r="62" customFormat="false" ht="15" hidden="false" customHeight="false" outlineLevel="0" collapsed="false">
      <c r="B62" s="24" t="n">
        <v>0.005</v>
      </c>
      <c r="C62" s="20" t="n">
        <f aca="false">((SUMPRODUCT(Autoroutes!$D$29:$AV$29/(1+Autoroutes!$C$12+$B62)^Autoroutes!$D$30:$AV$30)+IF(Autoroutes!$C$13=0,Autoroutes!$C$41*(1+Autoroutes!$C$16+C$58)/(Autoroutes!$C$12+$B62-Autoroutes!$C$16-C$58)/(1+Autoroutes!$C$12+$B62)^Autoroutes!$C$42,0))+(SUMPRODUCT(Autoroutes!$D$71:$AV$71/(1+Autoroutes!$C$54+$B62)^Autoroutes!$D$72:$AV$72)+IF(Autoroutes!$C$55=0,Autoroutes!$C$83*(1+Autoroutes!$C$58+C$58)/(Autoroutes!$C$54+$B62-Autoroutes!$C$58-C$58)/(1+Autoroutes!$C$54+$B62)^Autoroutes!$C$84,0))+(SUMPRODUCT(Autoroutes!$D$113:$AV$113/(1+Autoroutes!$C$96+$B62)^Autoroutes!$D$114:$AV$114)+IF(Autoroutes!$C$97=0,Autoroutes!$C$125*(1+Autoroutes!$C$100+C$58)/(Autoroutes!$C$96+$B62-Autoroutes!$C$100-C$58)/(1+Autoroutes!$C$96+$B62)^Autoroutes!$C$126,0))+(SUMPRODUCT(Autoroutes!$D$155:$AV$155/(1+Autoroutes!$C$138+$B62)^Autoroutes!$D$156:$AV$156)+IF(Autoroutes!$C$139=0,Autoroutes!$C$167*(1+Autoroutes!$C$142+C$58)/(Autoroutes!$C$138+$B62-Autoroutes!$C$142-C$58)/(1+Autoroutes!$C$138+$B62)^Autoroutes!$C$168,0))+(SUMPRODUCT(Airports!$D$29:$AV$29/(1+Airports!$C$12+$B62)^Airports!$D$30:$AV$30)+IF(Airports!$C$13=0,Airports!$C$41*(1+Airports!$C$16+C$58)/(Airports!$C$12+$B62-Airports!$C$16-C$58)/(1+Airports!$C$12+$B62)^Airports!$C$42,0))+(SUMPRODUCT(Airports!$D$71:$AV$71/(1+Airports!$C$54+$B62)^Airports!$D$72:$AV$72)+IF(Airports!$C$55=0,Airports!$C$83*(1+Airports!$C$58+C$58)/(Airports!$C$54+$B62-Airports!$C$58-C$58)/(1+Airports!$C$54+$B62)^Airports!$C$84,0))+(SUMPRODUCT(Airports!$D$113:$AV$113/(1+Airports!$C$96+$B62)^Airports!$D$114:$AV$114)+IF(Airports!$C$97=0,Airports!$C$125*(1+Airports!$C$100+C$58)/(Airports!$C$96+$B62-Airports!$C$100-C$58)/(1+Airports!$C$96+$B62)^Airports!$C$126,0))+(SUMPRODUCT(Other_Concessions!$D$29:$AV$29/(1+Other_Concessions!$C$12+$B62)^Other_Concessions!$D$30:$AV$30)+IF(Other_Concessions!$C$13=0,Other_Concessions!$C$41*(1+Other_Concessions!$C$16+C$58)/(Other_Concessions!$C$12+$B62-Other_Concessions!$C$16-C$58)/(1+Other_Concessions!$C$12+$B62)^Other_Concessions!$C$42,0))+(SUMPRODUCT(Energy_Construction!$D$29:$AV$29/(1+Energy_Construction!$C$12+$B62)^Energy_Construction!$D$30:$AV$30)+IF(Energy_Construction!$C$13=0,Energy_Construction!$C$41*(1+Energy_Construction!$C$16+C$58)/(Energy_Construction!$C$12+$B62-Energy_Construction!$C$16-C$58)/(1+Energy_Construction!$C$12+$B62)^Energy_Construction!$C$42,0))+(SUMPRODUCT(Energy_Construction!$D$71:$AV$71/(1+Energy_Construction!$C$54+$B62)^Energy_Construction!$D$72:$AV$72)+IF(Energy_Construction!$C$55=0,Energy_Construction!$C$83*(1+Energy_Construction!$C$58+C$58)/(Energy_Construction!$C$54+$B62-Energy_Construction!$C$58-C$58)/(1+Energy_Construction!$C$54+$B62)^Energy_Construction!$C$84,0))+(SUMPRODUCT(Energy_Construction!$D$113:$AV$113/(1+Energy_Construction!$C$96+$B62)^Energy_Construction!$D$114:$AV$114)+IF(Energy_Construction!$C$97=0,Energy_Construction!$C$125*(1+Energy_Construction!$C$100+C$58)/(Energy_Construction!$C$96+$B62-Energy_Construction!$C$100-C$58)/(1+Energy_Construction!$C$96+$B62)^Energy_Construction!$C$126,0))+(F17+F20+F21+F22+F25)-Inputs!$C$25*MAX(0,(SUMPRODUCT(Airports!$D$29:$AV$29/(1+Airports!$C$12+$B62)^Airports!$D$30:$AV$30)+IF(Airports!$C$13=0,Airports!$C$41*(1+Airports!$C$16+C$58)/(Airports!$C$12+$B62-Airports!$C$16-C$58)/(1+Airports!$C$12+$B62)^Airports!$C$42,0))-Inputs!$C$23)-Inputs!$C$26*MAX(0,(SUMPRODUCT(Airports!$D$71:$AV$71/(1+Airports!$C$54+$B62)^Airports!$D$72:$AV$72)+IF(Airports!$C$55=0,Airports!$C$83*(1+Airports!$C$58+C$58)/(Airports!$C$54+$B62-Airports!$C$58-C$58)/(1+Airports!$C$54+$B62)^Airports!$C$84,0))-Inputs!$C$24))/$F$27</f>
        <v>114.561714888633</v>
      </c>
      <c r="D62" s="20" t="n">
        <f aca="false">((SUMPRODUCT(Autoroutes!$D$29:$AV$29/(1+Autoroutes!$C$12+$B62)^Autoroutes!$D$30:$AV$30)+IF(Autoroutes!$C$13=0,Autoroutes!$C$41*(1+Autoroutes!$C$16+D$58)/(Autoroutes!$C$12+$B62-Autoroutes!$C$16-D$58)/(1+Autoroutes!$C$12+$B62)^Autoroutes!$C$42,0))+(SUMPRODUCT(Autoroutes!$D$71:$AV$71/(1+Autoroutes!$C$54+$B62)^Autoroutes!$D$72:$AV$72)+IF(Autoroutes!$C$55=0,Autoroutes!$C$83*(1+Autoroutes!$C$58+D$58)/(Autoroutes!$C$54+$B62-Autoroutes!$C$58-D$58)/(1+Autoroutes!$C$54+$B62)^Autoroutes!$C$84,0))+(SUMPRODUCT(Autoroutes!$D$113:$AV$113/(1+Autoroutes!$C$96+$B62)^Autoroutes!$D$114:$AV$114)+IF(Autoroutes!$C$97=0,Autoroutes!$C$125*(1+Autoroutes!$C$100+D$58)/(Autoroutes!$C$96+$B62-Autoroutes!$C$100-D$58)/(1+Autoroutes!$C$96+$B62)^Autoroutes!$C$126,0))+(SUMPRODUCT(Autoroutes!$D$155:$AV$155/(1+Autoroutes!$C$138+$B62)^Autoroutes!$D$156:$AV$156)+IF(Autoroutes!$C$139=0,Autoroutes!$C$167*(1+Autoroutes!$C$142+D$58)/(Autoroutes!$C$138+$B62-Autoroutes!$C$142-D$58)/(1+Autoroutes!$C$138+$B62)^Autoroutes!$C$168,0))+(SUMPRODUCT(Airports!$D$29:$AV$29/(1+Airports!$C$12+$B62)^Airports!$D$30:$AV$30)+IF(Airports!$C$13=0,Airports!$C$41*(1+Airports!$C$16+D$58)/(Airports!$C$12+$B62-Airports!$C$16-D$58)/(1+Airports!$C$12+$B62)^Airports!$C$42,0))+(SUMPRODUCT(Airports!$D$71:$AV$71/(1+Airports!$C$54+$B62)^Airports!$D$72:$AV$72)+IF(Airports!$C$55=0,Airports!$C$83*(1+Airports!$C$58+D$58)/(Airports!$C$54+$B62-Airports!$C$58-D$58)/(1+Airports!$C$54+$B62)^Airports!$C$84,0))+(SUMPRODUCT(Airports!$D$113:$AV$113/(1+Airports!$C$96+$B62)^Airports!$D$114:$AV$114)+IF(Airports!$C$97=0,Airports!$C$125*(1+Airports!$C$100+D$58)/(Airports!$C$96+$B62-Airports!$C$100-D$58)/(1+Airports!$C$96+$B62)^Airports!$C$126,0))+(SUMPRODUCT(Other_Concessions!$D$29:$AV$29/(1+Other_Concessions!$C$12+$B62)^Other_Concessions!$D$30:$AV$30)+IF(Other_Concessions!$C$13=0,Other_Concessions!$C$41*(1+Other_Concessions!$C$16+D$58)/(Other_Concessions!$C$12+$B62-Other_Concessions!$C$16-D$58)/(1+Other_Concessions!$C$12+$B62)^Other_Concessions!$C$42,0))+(SUMPRODUCT(Energy_Construction!$D$29:$AV$29/(1+Energy_Construction!$C$12+$B62)^Energy_Construction!$D$30:$AV$30)+IF(Energy_Construction!$C$13=0,Energy_Construction!$C$41*(1+Energy_Construction!$C$16+D$58)/(Energy_Construction!$C$12+$B62-Energy_Construction!$C$16-D$58)/(1+Energy_Construction!$C$12+$B62)^Energy_Construction!$C$42,0))+(SUMPRODUCT(Energy_Construction!$D$71:$AV$71/(1+Energy_Construction!$C$54+$B62)^Energy_Construction!$D$72:$AV$72)+IF(Energy_Construction!$C$55=0,Energy_Construction!$C$83*(1+Energy_Construction!$C$58+D$58)/(Energy_Construction!$C$54+$B62-Energy_Construction!$C$58-D$58)/(1+Energy_Construction!$C$54+$B62)^Energy_Construction!$C$84,0))+(SUMPRODUCT(Energy_Construction!$D$113:$AV$113/(1+Energy_Construction!$C$96+$B62)^Energy_Construction!$D$114:$AV$114)+IF(Energy_Construction!$C$97=0,Energy_Construction!$C$125*(1+Energy_Construction!$C$100+D$58)/(Energy_Construction!$C$96+$B62-Energy_Construction!$C$100-D$58)/(1+Energy_Construction!$C$96+$B62)^Energy_Construction!$C$126,0))+(F17+F20+F21+F22+F25)-Inputs!$C$25*MAX(0,(SUMPRODUCT(Airports!$D$29:$AV$29/(1+Airports!$C$12+$B62)^Airports!$D$30:$AV$30)+IF(Airports!$C$13=0,Airports!$C$41*(1+Airports!$C$16+D$58)/(Airports!$C$12+$B62-Airports!$C$16-D$58)/(1+Airports!$C$12+$B62)^Airports!$C$42,0))-Inputs!$C$23)-Inputs!$C$26*MAX(0,(SUMPRODUCT(Airports!$D$71:$AV$71/(1+Airports!$C$54+$B62)^Airports!$D$72:$AV$72)+IF(Airports!$C$55=0,Airports!$C$83*(1+Airports!$C$58+D$58)/(Airports!$C$54+$B62-Airports!$C$58-D$58)/(1+Airports!$C$54+$B62)^Airports!$C$84,0))-Inputs!$C$24))/$F$27</f>
        <v>118.50463806751</v>
      </c>
      <c r="E62" s="20" t="n">
        <f aca="false">((SUMPRODUCT(Autoroutes!$D$29:$AV$29/(1+Autoroutes!$C$12+$B62)^Autoroutes!$D$30:$AV$30)+IF(Autoroutes!$C$13=0,Autoroutes!$C$41*(1+Autoroutes!$C$16+E$58)/(Autoroutes!$C$12+$B62-Autoroutes!$C$16-E$58)/(1+Autoroutes!$C$12+$B62)^Autoroutes!$C$42,0))+(SUMPRODUCT(Autoroutes!$D$71:$AV$71/(1+Autoroutes!$C$54+$B62)^Autoroutes!$D$72:$AV$72)+IF(Autoroutes!$C$55=0,Autoroutes!$C$83*(1+Autoroutes!$C$58+E$58)/(Autoroutes!$C$54+$B62-Autoroutes!$C$58-E$58)/(1+Autoroutes!$C$54+$B62)^Autoroutes!$C$84,0))+(SUMPRODUCT(Autoroutes!$D$113:$AV$113/(1+Autoroutes!$C$96+$B62)^Autoroutes!$D$114:$AV$114)+IF(Autoroutes!$C$97=0,Autoroutes!$C$125*(1+Autoroutes!$C$100+E$58)/(Autoroutes!$C$96+$B62-Autoroutes!$C$100-E$58)/(1+Autoroutes!$C$96+$B62)^Autoroutes!$C$126,0))+(SUMPRODUCT(Autoroutes!$D$155:$AV$155/(1+Autoroutes!$C$138+$B62)^Autoroutes!$D$156:$AV$156)+IF(Autoroutes!$C$139=0,Autoroutes!$C$167*(1+Autoroutes!$C$142+E$58)/(Autoroutes!$C$138+$B62-Autoroutes!$C$142-E$58)/(1+Autoroutes!$C$138+$B62)^Autoroutes!$C$168,0))+(SUMPRODUCT(Airports!$D$29:$AV$29/(1+Airports!$C$12+$B62)^Airports!$D$30:$AV$30)+IF(Airports!$C$13=0,Airports!$C$41*(1+Airports!$C$16+E$58)/(Airports!$C$12+$B62-Airports!$C$16-E$58)/(1+Airports!$C$12+$B62)^Airports!$C$42,0))+(SUMPRODUCT(Airports!$D$71:$AV$71/(1+Airports!$C$54+$B62)^Airports!$D$72:$AV$72)+IF(Airports!$C$55=0,Airports!$C$83*(1+Airports!$C$58+E$58)/(Airports!$C$54+$B62-Airports!$C$58-E$58)/(1+Airports!$C$54+$B62)^Airports!$C$84,0))+(SUMPRODUCT(Airports!$D$113:$AV$113/(1+Airports!$C$96+$B62)^Airports!$D$114:$AV$114)+IF(Airports!$C$97=0,Airports!$C$125*(1+Airports!$C$100+E$58)/(Airports!$C$96+$B62-Airports!$C$100-E$58)/(1+Airports!$C$96+$B62)^Airports!$C$126,0))+(SUMPRODUCT(Other_Concessions!$D$29:$AV$29/(1+Other_Concessions!$C$12+$B62)^Other_Concessions!$D$30:$AV$30)+IF(Other_Concessions!$C$13=0,Other_Concessions!$C$41*(1+Other_Concessions!$C$16+E$58)/(Other_Concessions!$C$12+$B62-Other_Concessions!$C$16-E$58)/(1+Other_Concessions!$C$12+$B62)^Other_Concessions!$C$42,0))+(SUMPRODUCT(Energy_Construction!$D$29:$AV$29/(1+Energy_Construction!$C$12+$B62)^Energy_Construction!$D$30:$AV$30)+IF(Energy_Construction!$C$13=0,Energy_Construction!$C$41*(1+Energy_Construction!$C$16+E$58)/(Energy_Construction!$C$12+$B62-Energy_Construction!$C$16-E$58)/(1+Energy_Construction!$C$12+$B62)^Energy_Construction!$C$42,0))+(SUMPRODUCT(Energy_Construction!$D$71:$AV$71/(1+Energy_Construction!$C$54+$B62)^Energy_Construction!$D$72:$AV$72)+IF(Energy_Construction!$C$55=0,Energy_Construction!$C$83*(1+Energy_Construction!$C$58+E$58)/(Energy_Construction!$C$54+$B62-Energy_Construction!$C$58-E$58)/(1+Energy_Construction!$C$54+$B62)^Energy_Construction!$C$84,0))+(SUMPRODUCT(Energy_Construction!$D$113:$AV$113/(1+Energy_Construction!$C$96+$B62)^Energy_Construction!$D$114:$AV$114)+IF(Energy_Construction!$C$97=0,Energy_Construction!$C$125*(1+Energy_Construction!$C$100+E$58)/(Energy_Construction!$C$96+$B62-Energy_Construction!$C$100-E$58)/(1+Energy_Construction!$C$96+$B62)^Energy_Construction!$C$126,0))+(F17+F20+F21+F22+F25)-Inputs!$C$25*MAX(0,(SUMPRODUCT(Airports!$D$29:$AV$29/(1+Airports!$C$12+$B62)^Airports!$D$30:$AV$30)+IF(Airports!$C$13=0,Airports!$C$41*(1+Airports!$C$16+E$58)/(Airports!$C$12+$B62-Airports!$C$16-E$58)/(1+Airports!$C$12+$B62)^Airports!$C$42,0))-Inputs!$C$23)-Inputs!$C$26*MAX(0,(SUMPRODUCT(Airports!$D$71:$AV$71/(1+Airports!$C$54+$B62)^Airports!$D$72:$AV$72)+IF(Airports!$C$55=0,Airports!$C$83*(1+Airports!$C$58+E$58)/(Airports!$C$54+$B62-Airports!$C$58-E$58)/(1+Airports!$C$54+$B62)^Airports!$C$84,0))-Inputs!$C$24))/$F$27</f>
        <v>123.119577501623</v>
      </c>
    </row>
    <row r="63" customFormat="false" ht="15" hidden="false" customHeight="false" outlineLevel="0" collapsed="false">
      <c r="B63" s="24" t="n">
        <v>0.01</v>
      </c>
      <c r="C63" s="20" t="n">
        <f aca="false">((SUMPRODUCT(Autoroutes!$D$29:$AV$29/(1+Autoroutes!$C$12+$B63)^Autoroutes!$D$30:$AV$30)+IF(Autoroutes!$C$13=0,Autoroutes!$C$41*(1+Autoroutes!$C$16+C$58)/(Autoroutes!$C$12+$B63-Autoroutes!$C$16-C$58)/(1+Autoroutes!$C$12+$B63)^Autoroutes!$C$42,0))+(SUMPRODUCT(Autoroutes!$D$71:$AV$71/(1+Autoroutes!$C$54+$B63)^Autoroutes!$D$72:$AV$72)+IF(Autoroutes!$C$55=0,Autoroutes!$C$83*(1+Autoroutes!$C$58+C$58)/(Autoroutes!$C$54+$B63-Autoroutes!$C$58-C$58)/(1+Autoroutes!$C$54+$B63)^Autoroutes!$C$84,0))+(SUMPRODUCT(Autoroutes!$D$113:$AV$113/(1+Autoroutes!$C$96+$B63)^Autoroutes!$D$114:$AV$114)+IF(Autoroutes!$C$97=0,Autoroutes!$C$125*(1+Autoroutes!$C$100+C$58)/(Autoroutes!$C$96+$B63-Autoroutes!$C$100-C$58)/(1+Autoroutes!$C$96+$B63)^Autoroutes!$C$126,0))+(SUMPRODUCT(Autoroutes!$D$155:$AV$155/(1+Autoroutes!$C$138+$B63)^Autoroutes!$D$156:$AV$156)+IF(Autoroutes!$C$139=0,Autoroutes!$C$167*(1+Autoroutes!$C$142+C$58)/(Autoroutes!$C$138+$B63-Autoroutes!$C$142-C$58)/(1+Autoroutes!$C$138+$B63)^Autoroutes!$C$168,0))+(SUMPRODUCT(Airports!$D$29:$AV$29/(1+Airports!$C$12+$B63)^Airports!$D$30:$AV$30)+IF(Airports!$C$13=0,Airports!$C$41*(1+Airports!$C$16+C$58)/(Airports!$C$12+$B63-Airports!$C$16-C$58)/(1+Airports!$C$12+$B63)^Airports!$C$42,0))+(SUMPRODUCT(Airports!$D$71:$AV$71/(1+Airports!$C$54+$B63)^Airports!$D$72:$AV$72)+IF(Airports!$C$55=0,Airports!$C$83*(1+Airports!$C$58+C$58)/(Airports!$C$54+$B63-Airports!$C$58-C$58)/(1+Airports!$C$54+$B63)^Airports!$C$84,0))+(SUMPRODUCT(Airports!$D$113:$AV$113/(1+Airports!$C$96+$B63)^Airports!$D$114:$AV$114)+IF(Airports!$C$97=0,Airports!$C$125*(1+Airports!$C$100+C$58)/(Airports!$C$96+$B63-Airports!$C$100-C$58)/(1+Airports!$C$96+$B63)^Airports!$C$126,0))+(SUMPRODUCT(Other_Concessions!$D$29:$AV$29/(1+Other_Concessions!$C$12+$B63)^Other_Concessions!$D$30:$AV$30)+IF(Other_Concessions!$C$13=0,Other_Concessions!$C$41*(1+Other_Concessions!$C$16+C$58)/(Other_Concessions!$C$12+$B63-Other_Concessions!$C$16-C$58)/(1+Other_Concessions!$C$12+$B63)^Other_Concessions!$C$42,0))+(SUMPRODUCT(Energy_Construction!$D$29:$AV$29/(1+Energy_Construction!$C$12+$B63)^Energy_Construction!$D$30:$AV$30)+IF(Energy_Construction!$C$13=0,Energy_Construction!$C$41*(1+Energy_Construction!$C$16+C$58)/(Energy_Construction!$C$12+$B63-Energy_Construction!$C$16-C$58)/(1+Energy_Construction!$C$12+$B63)^Energy_Construction!$C$42,0))+(SUMPRODUCT(Energy_Construction!$D$71:$AV$71/(1+Energy_Construction!$C$54+$B63)^Energy_Construction!$D$72:$AV$72)+IF(Energy_Construction!$C$55=0,Energy_Construction!$C$83*(1+Energy_Construction!$C$58+C$58)/(Energy_Construction!$C$54+$B63-Energy_Construction!$C$58-C$58)/(1+Energy_Construction!$C$54+$B63)^Energy_Construction!$C$84,0))+(SUMPRODUCT(Energy_Construction!$D$113:$AV$113/(1+Energy_Construction!$C$96+$B63)^Energy_Construction!$D$114:$AV$114)+IF(Energy_Construction!$C$97=0,Energy_Construction!$C$125*(1+Energy_Construction!$C$100+C$58)/(Energy_Construction!$C$96+$B63-Energy_Construction!$C$100-C$58)/(1+Energy_Construction!$C$96+$B63)^Energy_Construction!$C$126,0))+(F17+F20+F21+F22+F25)-Inputs!$C$25*MAX(0,(SUMPRODUCT(Airports!$D$29:$AV$29/(1+Airports!$C$12+$B63)^Airports!$D$30:$AV$30)+IF(Airports!$C$13=0,Airports!$C$41*(1+Airports!$C$16+C$58)/(Airports!$C$12+$B63-Airports!$C$16-C$58)/(1+Airports!$C$12+$B63)^Airports!$C$42,0))-Inputs!$C$23)-Inputs!$C$26*MAX(0,(SUMPRODUCT(Airports!$D$71:$AV$71/(1+Airports!$C$54+$B63)^Airports!$D$72:$AV$72)+IF(Airports!$C$55=0,Airports!$C$83*(1+Airports!$C$58+C$58)/(Airports!$C$54+$B63-Airports!$C$58-C$58)/(1+Airports!$C$54+$B63)^Airports!$C$84,0))-Inputs!$C$24))/$F$27</f>
        <v>107.475411730994</v>
      </c>
      <c r="D63" s="20" t="n">
        <f aca="false">((SUMPRODUCT(Autoroutes!$D$29:$AV$29/(1+Autoroutes!$C$12+$B63)^Autoroutes!$D$30:$AV$30)+IF(Autoroutes!$C$13=0,Autoroutes!$C$41*(1+Autoroutes!$C$16+D$58)/(Autoroutes!$C$12+$B63-Autoroutes!$C$16-D$58)/(1+Autoroutes!$C$12+$B63)^Autoroutes!$C$42,0))+(SUMPRODUCT(Autoroutes!$D$71:$AV$71/(1+Autoroutes!$C$54+$B63)^Autoroutes!$D$72:$AV$72)+IF(Autoroutes!$C$55=0,Autoroutes!$C$83*(1+Autoroutes!$C$58+D$58)/(Autoroutes!$C$54+$B63-Autoroutes!$C$58-D$58)/(1+Autoroutes!$C$54+$B63)^Autoroutes!$C$84,0))+(SUMPRODUCT(Autoroutes!$D$113:$AV$113/(1+Autoroutes!$C$96+$B63)^Autoroutes!$D$114:$AV$114)+IF(Autoroutes!$C$97=0,Autoroutes!$C$125*(1+Autoroutes!$C$100+D$58)/(Autoroutes!$C$96+$B63-Autoroutes!$C$100-D$58)/(1+Autoroutes!$C$96+$B63)^Autoroutes!$C$126,0))+(SUMPRODUCT(Autoroutes!$D$155:$AV$155/(1+Autoroutes!$C$138+$B63)^Autoroutes!$D$156:$AV$156)+IF(Autoroutes!$C$139=0,Autoroutes!$C$167*(1+Autoroutes!$C$142+D$58)/(Autoroutes!$C$138+$B63-Autoroutes!$C$142-D$58)/(1+Autoroutes!$C$138+$B63)^Autoroutes!$C$168,0))+(SUMPRODUCT(Airports!$D$29:$AV$29/(1+Airports!$C$12+$B63)^Airports!$D$30:$AV$30)+IF(Airports!$C$13=0,Airports!$C$41*(1+Airports!$C$16+D$58)/(Airports!$C$12+$B63-Airports!$C$16-D$58)/(1+Airports!$C$12+$B63)^Airports!$C$42,0))+(SUMPRODUCT(Airports!$D$71:$AV$71/(1+Airports!$C$54+$B63)^Airports!$D$72:$AV$72)+IF(Airports!$C$55=0,Airports!$C$83*(1+Airports!$C$58+D$58)/(Airports!$C$54+$B63-Airports!$C$58-D$58)/(1+Airports!$C$54+$B63)^Airports!$C$84,0))+(SUMPRODUCT(Airports!$D$113:$AV$113/(1+Airports!$C$96+$B63)^Airports!$D$114:$AV$114)+IF(Airports!$C$97=0,Airports!$C$125*(1+Airports!$C$100+D$58)/(Airports!$C$96+$B63-Airports!$C$100-D$58)/(1+Airports!$C$96+$B63)^Airports!$C$126,0))+(SUMPRODUCT(Other_Concessions!$D$29:$AV$29/(1+Other_Concessions!$C$12+$B63)^Other_Concessions!$D$30:$AV$30)+IF(Other_Concessions!$C$13=0,Other_Concessions!$C$41*(1+Other_Concessions!$C$16+D$58)/(Other_Concessions!$C$12+$B63-Other_Concessions!$C$16-D$58)/(1+Other_Concessions!$C$12+$B63)^Other_Concessions!$C$42,0))+(SUMPRODUCT(Energy_Construction!$D$29:$AV$29/(1+Energy_Construction!$C$12+$B63)^Energy_Construction!$D$30:$AV$30)+IF(Energy_Construction!$C$13=0,Energy_Construction!$C$41*(1+Energy_Construction!$C$16+D$58)/(Energy_Construction!$C$12+$B63-Energy_Construction!$C$16-D$58)/(1+Energy_Construction!$C$12+$B63)^Energy_Construction!$C$42,0))+(SUMPRODUCT(Energy_Construction!$D$71:$AV$71/(1+Energy_Construction!$C$54+$B63)^Energy_Construction!$D$72:$AV$72)+IF(Energy_Construction!$C$55=0,Energy_Construction!$C$83*(1+Energy_Construction!$C$58+D$58)/(Energy_Construction!$C$54+$B63-Energy_Construction!$C$58-D$58)/(1+Energy_Construction!$C$54+$B63)^Energy_Construction!$C$84,0))+(SUMPRODUCT(Energy_Construction!$D$113:$AV$113/(1+Energy_Construction!$C$96+$B63)^Energy_Construction!$D$114:$AV$114)+IF(Energy_Construction!$C$97=0,Energy_Construction!$C$125*(1+Energy_Construction!$C$100+D$58)/(Energy_Construction!$C$96+$B63-Energy_Construction!$C$100-D$58)/(1+Energy_Construction!$C$96+$B63)^Energy_Construction!$C$126,0))+(F17+F20+F21+F22+F25)-Inputs!$C$25*MAX(0,(SUMPRODUCT(Airports!$D$29:$AV$29/(1+Airports!$C$12+$B63)^Airports!$D$30:$AV$30)+IF(Airports!$C$13=0,Airports!$C$41*(1+Airports!$C$16+D$58)/(Airports!$C$12+$B63-Airports!$C$16-D$58)/(1+Airports!$C$12+$B63)^Airports!$C$42,0))-Inputs!$C$23)-Inputs!$C$26*MAX(0,(SUMPRODUCT(Airports!$D$71:$AV$71/(1+Airports!$C$54+$B63)^Airports!$D$72:$AV$72)+IF(Airports!$C$55=0,Airports!$C$83*(1+Airports!$C$58+D$58)/(Airports!$C$54+$B63-Airports!$C$58-D$58)/(1+Airports!$C$54+$B63)^Airports!$C$84,0))-Inputs!$C$24))/$F$27</f>
        <v>110.824893756938</v>
      </c>
      <c r="E63" s="20" t="n">
        <f aca="false">((SUMPRODUCT(Autoroutes!$D$29:$AV$29/(1+Autoroutes!$C$12+$B63)^Autoroutes!$D$30:$AV$30)+IF(Autoroutes!$C$13=0,Autoroutes!$C$41*(1+Autoroutes!$C$16+E$58)/(Autoroutes!$C$12+$B63-Autoroutes!$C$16-E$58)/(1+Autoroutes!$C$12+$B63)^Autoroutes!$C$42,0))+(SUMPRODUCT(Autoroutes!$D$71:$AV$71/(1+Autoroutes!$C$54+$B63)^Autoroutes!$D$72:$AV$72)+IF(Autoroutes!$C$55=0,Autoroutes!$C$83*(1+Autoroutes!$C$58+E$58)/(Autoroutes!$C$54+$B63-Autoroutes!$C$58-E$58)/(1+Autoroutes!$C$54+$B63)^Autoroutes!$C$84,0))+(SUMPRODUCT(Autoroutes!$D$113:$AV$113/(1+Autoroutes!$C$96+$B63)^Autoroutes!$D$114:$AV$114)+IF(Autoroutes!$C$97=0,Autoroutes!$C$125*(1+Autoroutes!$C$100+E$58)/(Autoroutes!$C$96+$B63-Autoroutes!$C$100-E$58)/(1+Autoroutes!$C$96+$B63)^Autoroutes!$C$126,0))+(SUMPRODUCT(Autoroutes!$D$155:$AV$155/(1+Autoroutes!$C$138+$B63)^Autoroutes!$D$156:$AV$156)+IF(Autoroutes!$C$139=0,Autoroutes!$C$167*(1+Autoroutes!$C$142+E$58)/(Autoroutes!$C$138+$B63-Autoroutes!$C$142-E$58)/(1+Autoroutes!$C$138+$B63)^Autoroutes!$C$168,0))+(SUMPRODUCT(Airports!$D$29:$AV$29/(1+Airports!$C$12+$B63)^Airports!$D$30:$AV$30)+IF(Airports!$C$13=0,Airports!$C$41*(1+Airports!$C$16+E$58)/(Airports!$C$12+$B63-Airports!$C$16-E$58)/(1+Airports!$C$12+$B63)^Airports!$C$42,0))+(SUMPRODUCT(Airports!$D$71:$AV$71/(1+Airports!$C$54+$B63)^Airports!$D$72:$AV$72)+IF(Airports!$C$55=0,Airports!$C$83*(1+Airports!$C$58+E$58)/(Airports!$C$54+$B63-Airports!$C$58-E$58)/(1+Airports!$C$54+$B63)^Airports!$C$84,0))+(SUMPRODUCT(Airports!$D$113:$AV$113/(1+Airports!$C$96+$B63)^Airports!$D$114:$AV$114)+IF(Airports!$C$97=0,Airports!$C$125*(1+Airports!$C$100+E$58)/(Airports!$C$96+$B63-Airports!$C$100-E$58)/(1+Airports!$C$96+$B63)^Airports!$C$126,0))+(SUMPRODUCT(Other_Concessions!$D$29:$AV$29/(1+Other_Concessions!$C$12+$B63)^Other_Concessions!$D$30:$AV$30)+IF(Other_Concessions!$C$13=0,Other_Concessions!$C$41*(1+Other_Concessions!$C$16+E$58)/(Other_Concessions!$C$12+$B63-Other_Concessions!$C$16-E$58)/(1+Other_Concessions!$C$12+$B63)^Other_Concessions!$C$42,0))+(SUMPRODUCT(Energy_Construction!$D$29:$AV$29/(1+Energy_Construction!$C$12+$B63)^Energy_Construction!$D$30:$AV$30)+IF(Energy_Construction!$C$13=0,Energy_Construction!$C$41*(1+Energy_Construction!$C$16+E$58)/(Energy_Construction!$C$12+$B63-Energy_Construction!$C$16-E$58)/(1+Energy_Construction!$C$12+$B63)^Energy_Construction!$C$42,0))+(SUMPRODUCT(Energy_Construction!$D$71:$AV$71/(1+Energy_Construction!$C$54+$B63)^Energy_Construction!$D$72:$AV$72)+IF(Energy_Construction!$C$55=0,Energy_Construction!$C$83*(1+Energy_Construction!$C$58+E$58)/(Energy_Construction!$C$54+$B63-Energy_Construction!$C$58-E$58)/(1+Energy_Construction!$C$54+$B63)^Energy_Construction!$C$84,0))+(SUMPRODUCT(Energy_Construction!$D$113:$AV$113/(1+Energy_Construction!$C$96+$B63)^Energy_Construction!$D$114:$AV$114)+IF(Energy_Construction!$C$97=0,Energy_Construction!$C$125*(1+Energy_Construction!$C$100+E$58)/(Energy_Construction!$C$96+$B63-Energy_Construction!$C$100-E$58)/(1+Energy_Construction!$C$96+$B63)^Energy_Construction!$C$126,0))+(F17+F20+F21+F22+F25)-Inputs!$C$25*MAX(0,(SUMPRODUCT(Airports!$D$29:$AV$29/(1+Airports!$C$12+$B63)^Airports!$D$30:$AV$30)+IF(Airports!$C$13=0,Airports!$C$41*(1+Airports!$C$16+E$58)/(Airports!$C$12+$B63-Airports!$C$16-E$58)/(1+Airports!$C$12+$B63)^Airports!$C$42,0))-Inputs!$C$23)-Inputs!$C$26*MAX(0,(SUMPRODUCT(Airports!$D$71:$AV$71/(1+Airports!$C$54+$B63)^Airports!$D$72:$AV$72)+IF(Airports!$C$55=0,Airports!$C$83*(1+Airports!$C$58+E$58)/(Airports!$C$54+$B63-Airports!$C$58-E$58)/(1+Airports!$C$54+$B63)^Airports!$C$84,0))-Inputs!$C$24))/$F$27</f>
        <v>114.699427792107</v>
      </c>
    </row>
    <row r="65" customFormat="false" ht="15" hidden="false" customHeight="false" outlineLevel="0" collapsed="false">
      <c r="B65" s="5" t="s">
        <v>71</v>
      </c>
    </row>
  </sheetData>
  <mergeCells count="1">
    <mergeCell ref="B48:F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62"/>
    <col collapsed="false" customWidth="true" hidden="false" outlineLevel="0" max="3" min="3" style="0" width="16"/>
    <col collapsed="false" customWidth="true" hidden="false" outlineLevel="0" max="4" min="4" style="0" width="90"/>
  </cols>
  <sheetData>
    <row r="2" customFormat="false" ht="16.15" hidden="false" customHeight="false" outlineLevel="0" collapsed="false">
      <c r="B2" s="4" t="s">
        <v>72</v>
      </c>
    </row>
    <row r="3" customFormat="false" ht="15" hidden="false" customHeight="false" outlineLevel="0" collapsed="false">
      <c r="B3" s="5" t="s">
        <v>73</v>
      </c>
    </row>
    <row r="4" customFormat="false" ht="15" hidden="false" customHeight="false" outlineLevel="0" collapsed="false">
      <c r="B4" s="6" t="s">
        <v>74</v>
      </c>
      <c r="C4" s="6" t="s">
        <v>75</v>
      </c>
      <c r="D4" s="6" t="s">
        <v>76</v>
      </c>
    </row>
    <row r="5" customFormat="false" ht="15" hidden="false" customHeight="false" outlineLevel="0" collapsed="false">
      <c r="B5" s="7" t="s">
        <v>77</v>
      </c>
      <c r="C5" s="25" t="n">
        <v>46203</v>
      </c>
      <c r="D5" s="26" t="s">
        <v>78</v>
      </c>
    </row>
    <row r="6" customFormat="false" ht="15" hidden="false" customHeight="false" outlineLevel="0" collapsed="false">
      <c r="B6" s="7" t="s">
        <v>79</v>
      </c>
      <c r="C6" s="27" t="n">
        <v>112.3</v>
      </c>
      <c r="D6" s="26" t="s">
        <v>80</v>
      </c>
    </row>
    <row r="7" customFormat="false" ht="15" hidden="false" customHeight="false" outlineLevel="0" collapsed="false">
      <c r="B7" s="7" t="s">
        <v>81</v>
      </c>
      <c r="C7" s="28" t="n">
        <v>585.891697</v>
      </c>
      <c r="D7" s="26" t="s">
        <v>82</v>
      </c>
    </row>
    <row r="8" customFormat="false" ht="15" hidden="false" customHeight="false" outlineLevel="0" collapsed="false">
      <c r="B8" s="7" t="s">
        <v>83</v>
      </c>
      <c r="C8" s="29" t="n">
        <v>0.054</v>
      </c>
      <c r="D8" s="26" t="s">
        <v>84</v>
      </c>
    </row>
    <row r="9" customFormat="false" ht="15" hidden="false" customHeight="false" outlineLevel="0" collapsed="false">
      <c r="B9" s="7" t="s">
        <v>85</v>
      </c>
      <c r="C9" s="28" t="n">
        <v>7.65954</v>
      </c>
      <c r="D9" s="26" t="s">
        <v>86</v>
      </c>
    </row>
    <row r="10" customFormat="false" ht="15" hidden="false" customHeight="false" outlineLevel="0" collapsed="false">
      <c r="B10" s="7" t="s">
        <v>87</v>
      </c>
      <c r="C10" s="30" t="n">
        <v>0.348</v>
      </c>
      <c r="D10" s="26" t="s">
        <v>88</v>
      </c>
    </row>
    <row r="11" customFormat="false" ht="15" hidden="false" customHeight="false" outlineLevel="0" collapsed="false">
      <c r="B11" s="7" t="s">
        <v>89</v>
      </c>
      <c r="C11" s="29" t="n">
        <v>0.258</v>
      </c>
      <c r="D11" s="26" t="s">
        <v>90</v>
      </c>
    </row>
    <row r="12" customFormat="false" ht="15" hidden="false" customHeight="false" outlineLevel="0" collapsed="false">
      <c r="B12" s="7" t="s">
        <v>91</v>
      </c>
      <c r="C12" s="31" t="n">
        <v>22450</v>
      </c>
      <c r="D12" s="26" t="s">
        <v>92</v>
      </c>
    </row>
    <row r="13" customFormat="false" ht="15" hidden="false" customHeight="false" outlineLevel="0" collapsed="false">
      <c r="B13" s="7" t="s">
        <v>93</v>
      </c>
      <c r="C13" s="31" t="n">
        <v>-28353</v>
      </c>
      <c r="D13" s="26" t="s">
        <v>94</v>
      </c>
    </row>
    <row r="14" customFormat="false" ht="15" hidden="false" customHeight="false" outlineLevel="0" collapsed="false">
      <c r="B14" s="7" t="s">
        <v>95</v>
      </c>
      <c r="C14" s="31" t="n">
        <v>981</v>
      </c>
      <c r="D14" s="26" t="s">
        <v>96</v>
      </c>
    </row>
    <row r="15" customFormat="false" ht="15" hidden="false" customHeight="false" outlineLevel="0" collapsed="false">
      <c r="B15" s="7" t="s">
        <v>97</v>
      </c>
      <c r="C15" s="31" t="n">
        <v>1902</v>
      </c>
      <c r="D15" s="26" t="s">
        <v>96</v>
      </c>
    </row>
    <row r="16" customFormat="false" ht="15" hidden="false" customHeight="false" outlineLevel="0" collapsed="false">
      <c r="B16" s="7" t="s">
        <v>98</v>
      </c>
      <c r="C16" s="31" t="n">
        <v>3019</v>
      </c>
      <c r="D16" s="26" t="s">
        <v>96</v>
      </c>
    </row>
    <row r="17" customFormat="false" ht="15" hidden="false" customHeight="false" outlineLevel="0" collapsed="false">
      <c r="B17" s="7" t="s">
        <v>99</v>
      </c>
      <c r="C17" s="32" t="n">
        <v>2051</v>
      </c>
      <c r="D17" s="26" t="s">
        <v>100</v>
      </c>
    </row>
    <row r="18" customFormat="false" ht="15" hidden="false" customHeight="false" outlineLevel="0" collapsed="false">
      <c r="B18" s="7" t="s">
        <v>101</v>
      </c>
      <c r="C18" s="31" t="n">
        <v>1169</v>
      </c>
      <c r="D18" s="26" t="s">
        <v>102</v>
      </c>
    </row>
    <row r="19" customFormat="false" ht="15" hidden="false" customHeight="false" outlineLevel="0" collapsed="false">
      <c r="B19" s="7" t="s">
        <v>103</v>
      </c>
      <c r="C19" s="31" t="n">
        <v>3654</v>
      </c>
      <c r="D19" s="26" t="s">
        <v>104</v>
      </c>
    </row>
    <row r="20" customFormat="false" ht="15" hidden="false" customHeight="false" outlineLevel="0" collapsed="false">
      <c r="B20" s="7" t="s">
        <v>105</v>
      </c>
      <c r="C20" s="31" t="n">
        <v>767</v>
      </c>
      <c r="D20" s="26" t="s">
        <v>106</v>
      </c>
    </row>
    <row r="21" customFormat="false" ht="15" hidden="false" customHeight="false" outlineLevel="0" collapsed="false">
      <c r="B21" s="7" t="s">
        <v>107</v>
      </c>
      <c r="C21" s="31" t="n">
        <v>1624</v>
      </c>
      <c r="D21" s="26" t="s">
        <v>96</v>
      </c>
    </row>
    <row r="22" customFormat="false" ht="15" hidden="false" customHeight="false" outlineLevel="0" collapsed="false">
      <c r="B22" s="7" t="s">
        <v>108</v>
      </c>
      <c r="C22" s="31" t="n">
        <v>593</v>
      </c>
      <c r="D22" s="26" t="s">
        <v>96</v>
      </c>
    </row>
    <row r="23" customFormat="false" ht="15" hidden="false" customHeight="false" outlineLevel="0" collapsed="false">
      <c r="B23" s="7" t="s">
        <v>109</v>
      </c>
      <c r="C23" s="32" t="n">
        <v>10773</v>
      </c>
      <c r="D23" s="26" t="s">
        <v>110</v>
      </c>
    </row>
    <row r="24" customFormat="false" ht="15" hidden="false" customHeight="false" outlineLevel="0" collapsed="false">
      <c r="B24" s="7" t="s">
        <v>111</v>
      </c>
      <c r="C24" s="32" t="n">
        <v>1331</v>
      </c>
      <c r="D24" s="26" t="s">
        <v>112</v>
      </c>
    </row>
    <row r="25" customFormat="false" ht="15" hidden="false" customHeight="false" outlineLevel="0" collapsed="false">
      <c r="B25" s="7" t="s">
        <v>113</v>
      </c>
      <c r="C25" s="29" t="n">
        <v>0.4999</v>
      </c>
      <c r="D25" s="26" t="s">
        <v>114</v>
      </c>
    </row>
    <row r="26" customFormat="false" ht="15" hidden="false" customHeight="false" outlineLevel="0" collapsed="false">
      <c r="B26" s="7" t="s">
        <v>115</v>
      </c>
      <c r="C26" s="29" t="n">
        <v>0.7001</v>
      </c>
      <c r="D26" s="26" t="s">
        <v>116</v>
      </c>
    </row>
    <row r="27" customFormat="false" ht="15" hidden="false" customHeight="false" outlineLevel="0" collapsed="false">
      <c r="B27" s="7" t="s">
        <v>117</v>
      </c>
      <c r="C27" s="32" t="n">
        <v>1108</v>
      </c>
      <c r="D27" s="26" t="s">
        <v>118</v>
      </c>
    </row>
    <row r="29" customFormat="false" ht="15" hidden="false" customHeight="false" outlineLevel="0" collapsed="false">
      <c r="B29" s="5" t="s">
        <v>119</v>
      </c>
    </row>
    <row r="30" customFormat="false" ht="15" hidden="false" customHeight="false" outlineLevel="0" collapsed="false">
      <c r="B30" s="12" t="s">
        <v>120</v>
      </c>
      <c r="C30" s="12" t="str">
        <f aca="false">IF(ABS(Inputs!$C$13+Inputs!$C$14+Inputs!$C$15+Inputs!$C$16+Inputs!$C$12)&lt;=2,"OK","REVISAR")</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V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2" min="2" style="0" width="58"/>
    <col collapsed="false" customWidth="true" hidden="false" outlineLevel="0" max="3" min="3" style="0" width="14"/>
    <col collapsed="false" customWidth="true" hidden="false" outlineLevel="0" max="48" min="4" style="0" width="9"/>
  </cols>
  <sheetData>
    <row r="2" customFormat="false" ht="16.15" hidden="false" customHeight="false" outlineLevel="0" collapsed="false">
      <c r="B2" s="4" t="s">
        <v>121</v>
      </c>
    </row>
    <row r="4" customFormat="false" ht="15" hidden="false" customHeight="false" outlineLevel="0" collapsed="false">
      <c r="B4" s="22" t="s">
        <v>22</v>
      </c>
      <c r="C4" s="22"/>
      <c r="D4" s="22"/>
      <c r="E4" s="22"/>
      <c r="F4" s="22"/>
    </row>
    <row r="5" customFormat="false" ht="15" hidden="false" customHeight="true" outlineLevel="0" collapsed="false">
      <c r="B5" s="7" t="s">
        <v>122</v>
      </c>
      <c r="C5" s="31" t="n">
        <v>3929</v>
      </c>
      <c r="D5" s="33" t="s">
        <v>123</v>
      </c>
      <c r="E5" s="33"/>
      <c r="F5" s="33"/>
      <c r="G5" s="33"/>
      <c r="H5" s="33"/>
      <c r="I5" s="33"/>
      <c r="J5" s="33"/>
      <c r="K5" s="33"/>
      <c r="L5" s="33"/>
      <c r="M5" s="33"/>
      <c r="N5" s="33"/>
    </row>
    <row r="6" customFormat="false" ht="15" hidden="false" customHeight="false" outlineLevel="0" collapsed="false">
      <c r="B6" s="7" t="s">
        <v>124</v>
      </c>
      <c r="C6" s="29" t="n">
        <v>-0.007</v>
      </c>
      <c r="D6" s="33"/>
      <c r="E6" s="33"/>
      <c r="F6" s="33"/>
      <c r="G6" s="33"/>
      <c r="H6" s="33"/>
      <c r="I6" s="33"/>
      <c r="J6" s="33"/>
      <c r="K6" s="33"/>
      <c r="L6" s="33"/>
      <c r="M6" s="33"/>
      <c r="N6" s="33"/>
    </row>
    <row r="7" customFormat="false" ht="15" hidden="false" customHeight="false" outlineLevel="0" collapsed="false">
      <c r="B7" s="7" t="s">
        <v>125</v>
      </c>
      <c r="C7" s="30" t="n">
        <v>0.021</v>
      </c>
      <c r="D7" s="33"/>
      <c r="E7" s="33"/>
      <c r="F7" s="33"/>
      <c r="G7" s="33"/>
      <c r="H7" s="33"/>
      <c r="I7" s="33"/>
      <c r="J7" s="33"/>
      <c r="K7" s="33"/>
      <c r="L7" s="33"/>
      <c r="M7" s="33"/>
      <c r="N7" s="33"/>
    </row>
    <row r="8" customFormat="false" ht="15" hidden="false" customHeight="false" outlineLevel="0" collapsed="false">
      <c r="B8" s="7" t="s">
        <v>126</v>
      </c>
      <c r="C8" s="29" t="n">
        <v>0.7105</v>
      </c>
      <c r="D8" s="33"/>
      <c r="E8" s="33"/>
      <c r="F8" s="33"/>
      <c r="G8" s="33"/>
      <c r="H8" s="33"/>
      <c r="I8" s="33"/>
      <c r="J8" s="33"/>
      <c r="K8" s="33"/>
      <c r="L8" s="33"/>
      <c r="M8" s="33"/>
      <c r="N8" s="33"/>
    </row>
    <row r="9" customFormat="false" ht="15" hidden="false" customHeight="false" outlineLevel="0" collapsed="false">
      <c r="B9" s="7" t="s">
        <v>127</v>
      </c>
      <c r="C9" s="29" t="n">
        <v>0.2232</v>
      </c>
      <c r="D9" s="33"/>
      <c r="E9" s="33"/>
      <c r="F9" s="33"/>
      <c r="G9" s="33"/>
      <c r="H9" s="33"/>
      <c r="I9" s="33"/>
      <c r="J9" s="33"/>
      <c r="K9" s="33"/>
      <c r="L9" s="33"/>
      <c r="M9" s="33"/>
      <c r="N9" s="33"/>
    </row>
    <row r="10" customFormat="false" ht="15" hidden="false" customHeight="false" outlineLevel="0" collapsed="false">
      <c r="B10" s="7" t="s">
        <v>128</v>
      </c>
      <c r="C10" s="29" t="n">
        <v>0.0873</v>
      </c>
      <c r="D10" s="33"/>
      <c r="E10" s="33"/>
      <c r="F10" s="33"/>
      <c r="G10" s="33"/>
      <c r="H10" s="33"/>
      <c r="I10" s="33"/>
      <c r="J10" s="33"/>
      <c r="K10" s="33"/>
      <c r="L10" s="33"/>
      <c r="M10" s="33"/>
      <c r="N10" s="33"/>
    </row>
    <row r="11" customFormat="false" ht="15" hidden="false" customHeight="false" outlineLevel="0" collapsed="false">
      <c r="B11" s="7" t="s">
        <v>129</v>
      </c>
      <c r="C11" s="29" t="n">
        <v>0.0018</v>
      </c>
      <c r="D11" s="33"/>
      <c r="E11" s="33"/>
      <c r="F11" s="33"/>
      <c r="G11" s="33"/>
      <c r="H11" s="33"/>
      <c r="I11" s="33"/>
      <c r="J11" s="33"/>
      <c r="K11" s="33"/>
      <c r="L11" s="33"/>
      <c r="M11" s="33"/>
      <c r="N11" s="33"/>
    </row>
    <row r="12" customFormat="false" ht="15" hidden="false" customHeight="false" outlineLevel="0" collapsed="false">
      <c r="B12" s="7" t="s">
        <v>130</v>
      </c>
      <c r="C12" s="30" t="n">
        <v>0.065</v>
      </c>
      <c r="D12" s="33"/>
      <c r="E12" s="33"/>
      <c r="F12" s="33"/>
      <c r="G12" s="33"/>
      <c r="H12" s="33"/>
      <c r="I12" s="33"/>
      <c r="J12" s="33"/>
      <c r="K12" s="33"/>
      <c r="L12" s="33"/>
      <c r="M12" s="33"/>
      <c r="N12" s="33"/>
    </row>
    <row r="13" customFormat="false" ht="15" hidden="false" customHeight="false" outlineLevel="0" collapsed="false">
      <c r="B13" s="7" t="s">
        <v>131</v>
      </c>
      <c r="C13" s="34" t="n">
        <v>1</v>
      </c>
      <c r="D13" s="33"/>
      <c r="E13" s="33"/>
      <c r="F13" s="33"/>
      <c r="G13" s="33"/>
      <c r="H13" s="33"/>
      <c r="I13" s="33"/>
      <c r="J13" s="33"/>
      <c r="K13" s="33"/>
      <c r="L13" s="33"/>
      <c r="M13" s="33"/>
      <c r="N13" s="33"/>
    </row>
    <row r="14" customFormat="false" ht="15" hidden="false" customHeight="false" outlineLevel="0" collapsed="false">
      <c r="B14" s="7" t="s">
        <v>132</v>
      </c>
      <c r="C14" s="35" t="n">
        <v>50040</v>
      </c>
      <c r="D14" s="33"/>
      <c r="E14" s="33"/>
      <c r="F14" s="33"/>
      <c r="G14" s="33"/>
      <c r="H14" s="33"/>
      <c r="I14" s="33"/>
      <c r="J14" s="33"/>
      <c r="K14" s="33"/>
      <c r="L14" s="33"/>
      <c r="M14" s="33"/>
      <c r="N14" s="33"/>
    </row>
    <row r="15" customFormat="false" ht="15" hidden="false" customHeight="false" outlineLevel="0" collapsed="false">
      <c r="B15" s="7" t="s">
        <v>133</v>
      </c>
      <c r="C15" s="34" t="n">
        <v>0</v>
      </c>
      <c r="D15" s="33"/>
      <c r="E15" s="33"/>
      <c r="F15" s="33"/>
      <c r="G15" s="33"/>
      <c r="H15" s="33"/>
      <c r="I15" s="33"/>
      <c r="J15" s="33"/>
      <c r="K15" s="33"/>
      <c r="L15" s="33"/>
      <c r="M15" s="33"/>
      <c r="N15" s="33"/>
    </row>
    <row r="16" customFormat="false" ht="15" hidden="false" customHeight="false" outlineLevel="0" collapsed="false">
      <c r="B16" s="7" t="s">
        <v>134</v>
      </c>
      <c r="C16" s="30" t="n">
        <v>0</v>
      </c>
      <c r="D16" s="33"/>
      <c r="E16" s="33"/>
      <c r="F16" s="33"/>
      <c r="G16" s="33"/>
      <c r="H16" s="33"/>
      <c r="I16" s="33"/>
      <c r="J16" s="33"/>
      <c r="K16" s="33"/>
      <c r="L16" s="33"/>
      <c r="M16" s="33"/>
      <c r="N16" s="33"/>
    </row>
    <row r="17" customFormat="false" ht="15" hidden="false" customHeight="false" outlineLevel="0" collapsed="false">
      <c r="B17" s="7" t="s">
        <v>135</v>
      </c>
      <c r="C17" s="29" t="n">
        <v>0</v>
      </c>
      <c r="D17" s="33"/>
      <c r="E17" s="33"/>
      <c r="F17" s="33"/>
      <c r="G17" s="33"/>
      <c r="H17" s="33"/>
      <c r="I17" s="33"/>
      <c r="J17" s="33"/>
      <c r="K17" s="33"/>
      <c r="L17" s="33"/>
      <c r="M17" s="33"/>
      <c r="N17" s="33"/>
    </row>
    <row r="19" customFormat="false" ht="15" hidden="false" customHeight="false" outlineLevel="0" collapsed="false">
      <c r="B19" s="6" t="s">
        <v>136</v>
      </c>
      <c r="D19" s="36" t="n">
        <v>2026</v>
      </c>
      <c r="E19" s="36" t="n">
        <v>2027</v>
      </c>
      <c r="F19" s="36" t="n">
        <v>2028</v>
      </c>
      <c r="G19" s="36" t="n">
        <v>2029</v>
      </c>
      <c r="H19" s="36" t="n">
        <v>2030</v>
      </c>
      <c r="I19" s="36" t="n">
        <v>2031</v>
      </c>
      <c r="J19" s="36" t="n">
        <v>2032</v>
      </c>
      <c r="K19" s="36" t="n">
        <v>2033</v>
      </c>
      <c r="L19" s="36" t="n">
        <v>2034</v>
      </c>
      <c r="M19" s="36" t="n">
        <v>2035</v>
      </c>
      <c r="N19" s="36" t="n">
        <v>2036</v>
      </c>
      <c r="O19" s="36" t="n">
        <v>2037</v>
      </c>
      <c r="P19" s="36" t="n">
        <v>2038</v>
      </c>
      <c r="Q19" s="36" t="n">
        <v>2039</v>
      </c>
      <c r="R19" s="36" t="n">
        <v>2040</v>
      </c>
      <c r="S19" s="36" t="n">
        <v>2041</v>
      </c>
      <c r="T19" s="36" t="n">
        <v>2042</v>
      </c>
      <c r="U19" s="36" t="n">
        <v>2043</v>
      </c>
      <c r="V19" s="36" t="n">
        <v>2044</v>
      </c>
      <c r="W19" s="36" t="n">
        <v>2045</v>
      </c>
      <c r="X19" s="36" t="n">
        <v>2046</v>
      </c>
      <c r="Y19" s="36" t="n">
        <v>2047</v>
      </c>
      <c r="Z19" s="36" t="n">
        <v>2048</v>
      </c>
      <c r="AA19" s="36" t="n">
        <v>2049</v>
      </c>
      <c r="AB19" s="36" t="n">
        <v>2050</v>
      </c>
      <c r="AC19" s="36" t="n">
        <v>2051</v>
      </c>
      <c r="AD19" s="36" t="n">
        <v>2052</v>
      </c>
      <c r="AE19" s="36" t="n">
        <v>2053</v>
      </c>
      <c r="AF19" s="36" t="n">
        <v>2054</v>
      </c>
      <c r="AG19" s="36" t="n">
        <v>2055</v>
      </c>
      <c r="AH19" s="36" t="n">
        <v>2056</v>
      </c>
      <c r="AI19" s="36" t="n">
        <v>2057</v>
      </c>
      <c r="AJ19" s="36" t="n">
        <v>2058</v>
      </c>
      <c r="AK19" s="36" t="n">
        <v>2059</v>
      </c>
      <c r="AL19" s="36" t="n">
        <v>2060</v>
      </c>
      <c r="AM19" s="36" t="n">
        <v>2061</v>
      </c>
      <c r="AN19" s="36" t="n">
        <v>2062</v>
      </c>
      <c r="AO19" s="36" t="n">
        <v>2063</v>
      </c>
      <c r="AP19" s="36" t="n">
        <v>2064</v>
      </c>
      <c r="AQ19" s="36" t="n">
        <v>2065</v>
      </c>
      <c r="AR19" s="36" t="n">
        <v>2066</v>
      </c>
      <c r="AS19" s="36" t="n">
        <v>2067</v>
      </c>
      <c r="AT19" s="36" t="n">
        <v>2068</v>
      </c>
      <c r="AU19" s="36" t="n">
        <v>2069</v>
      </c>
      <c r="AV19" s="36" t="n">
        <v>2070</v>
      </c>
    </row>
    <row r="20" customFormat="false" ht="15" hidden="false" customHeight="false" outlineLevel="0" collapsed="false">
      <c r="B20" s="7" t="s">
        <v>137</v>
      </c>
      <c r="D20" s="37" t="n">
        <f aca="false">IF($C$13=1,MAX(0,MIN(DATE(D$19,12,31),$C$14)-MAX(Inputs!$C$5+1,DATE(D$19,1,1))+1)/365,IF(D$19&lt;=$C$15,(DATE(D$19,12,31)-MAX(Inputs!$C$5+1,DATE(D$19,1,1))+1)/365,0))</f>
        <v>0.504109589041096</v>
      </c>
      <c r="E20" s="37" t="n">
        <f aca="false">IF($C$13=1,MAX(0,MIN(DATE(E$19,12,31),$C$14)-MAX(Inputs!$C$5+1,DATE(E$19,1,1))+1)/365,IF(E$19&lt;=$C$15,(DATE(E$19,12,31)-MAX(Inputs!$C$5+1,DATE(E$19,1,1))+1)/365,0))</f>
        <v>1</v>
      </c>
      <c r="F20" s="37" t="n">
        <f aca="false">IF($C$13=1,MAX(0,MIN(DATE(F$19,12,31),$C$14)-MAX(Inputs!$C$5+1,DATE(F$19,1,1))+1)/365,IF(F$19&lt;=$C$15,(DATE(F$19,12,31)-MAX(Inputs!$C$5+1,DATE(F$19,1,1))+1)/365,0))</f>
        <v>1.0027397260274</v>
      </c>
      <c r="G20" s="37" t="n">
        <f aca="false">IF($C$13=1,MAX(0,MIN(DATE(G$19,12,31),$C$14)-MAX(Inputs!$C$5+1,DATE(G$19,1,1))+1)/365,IF(G$19&lt;=$C$15,(DATE(G$19,12,31)-MAX(Inputs!$C$5+1,DATE(G$19,1,1))+1)/365,0))</f>
        <v>1</v>
      </c>
      <c r="H20" s="37" t="n">
        <f aca="false">IF($C$13=1,MAX(0,MIN(DATE(H$19,12,31),$C$14)-MAX(Inputs!$C$5+1,DATE(H$19,1,1))+1)/365,IF(H$19&lt;=$C$15,(DATE(H$19,12,31)-MAX(Inputs!$C$5+1,DATE(H$19,1,1))+1)/365,0))</f>
        <v>1</v>
      </c>
      <c r="I20" s="37" t="n">
        <f aca="false">IF($C$13=1,MAX(0,MIN(DATE(I$19,12,31),$C$14)-MAX(Inputs!$C$5+1,DATE(I$19,1,1))+1)/365,IF(I$19&lt;=$C$15,(DATE(I$19,12,31)-MAX(Inputs!$C$5+1,DATE(I$19,1,1))+1)/365,0))</f>
        <v>1</v>
      </c>
      <c r="J20" s="37" t="n">
        <f aca="false">IF($C$13=1,MAX(0,MIN(DATE(J$19,12,31),$C$14)-MAX(Inputs!$C$5+1,DATE(J$19,1,1))+1)/365,IF(J$19&lt;=$C$15,(DATE(J$19,12,31)-MAX(Inputs!$C$5+1,DATE(J$19,1,1))+1)/365,0))</f>
        <v>1.0027397260274</v>
      </c>
      <c r="K20" s="37" t="n">
        <f aca="false">IF($C$13=1,MAX(0,MIN(DATE(K$19,12,31),$C$14)-MAX(Inputs!$C$5+1,DATE(K$19,1,1))+1)/365,IF(K$19&lt;=$C$15,(DATE(K$19,12,31)-MAX(Inputs!$C$5+1,DATE(K$19,1,1))+1)/365,0))</f>
        <v>1</v>
      </c>
      <c r="L20" s="37" t="n">
        <f aca="false">IF($C$13=1,MAX(0,MIN(DATE(L$19,12,31),$C$14)-MAX(Inputs!$C$5+1,DATE(L$19,1,1))+1)/365,IF(L$19&lt;=$C$15,(DATE(L$19,12,31)-MAX(Inputs!$C$5+1,DATE(L$19,1,1))+1)/365,0))</f>
        <v>1</v>
      </c>
      <c r="M20" s="37" t="n">
        <f aca="false">IF($C$13=1,MAX(0,MIN(DATE(M$19,12,31),$C$14)-MAX(Inputs!$C$5+1,DATE(M$19,1,1))+1)/365,IF(M$19&lt;=$C$15,(DATE(M$19,12,31)-MAX(Inputs!$C$5+1,DATE(M$19,1,1))+1)/365,0))</f>
        <v>1</v>
      </c>
      <c r="N20" s="37" t="n">
        <f aca="false">IF($C$13=1,MAX(0,MIN(DATE(N$19,12,31),$C$14)-MAX(Inputs!$C$5+1,DATE(N$19,1,1))+1)/365,IF(N$19&lt;=$C$15,(DATE(N$19,12,31)-MAX(Inputs!$C$5+1,DATE(N$19,1,1))+1)/365,0))</f>
        <v>1.0027397260274</v>
      </c>
      <c r="O20" s="37" t="n">
        <f aca="false">IF($C$13=1,MAX(0,MIN(DATE(O$19,12,31),$C$14)-MAX(Inputs!$C$5+1,DATE(O$19,1,1))+1)/365,IF(O$19&lt;=$C$15,(DATE(O$19,12,31)-MAX(Inputs!$C$5+1,DATE(O$19,1,1))+1)/365,0))</f>
        <v>0</v>
      </c>
      <c r="P20" s="37" t="n">
        <f aca="false">IF($C$13=1,MAX(0,MIN(DATE(P$19,12,31),$C$14)-MAX(Inputs!$C$5+1,DATE(P$19,1,1))+1)/365,IF(P$19&lt;=$C$15,(DATE(P$19,12,31)-MAX(Inputs!$C$5+1,DATE(P$19,1,1))+1)/365,0))</f>
        <v>0</v>
      </c>
      <c r="Q20" s="37" t="n">
        <f aca="false">IF($C$13=1,MAX(0,MIN(DATE(Q$19,12,31),$C$14)-MAX(Inputs!$C$5+1,DATE(Q$19,1,1))+1)/365,IF(Q$19&lt;=$C$15,(DATE(Q$19,12,31)-MAX(Inputs!$C$5+1,DATE(Q$19,1,1))+1)/365,0))</f>
        <v>0</v>
      </c>
      <c r="R20" s="37" t="n">
        <f aca="false">IF($C$13=1,MAX(0,MIN(DATE(R$19,12,31),$C$14)-MAX(Inputs!$C$5+1,DATE(R$19,1,1))+1)/365,IF(R$19&lt;=$C$15,(DATE(R$19,12,31)-MAX(Inputs!$C$5+1,DATE(R$19,1,1))+1)/365,0))</f>
        <v>0</v>
      </c>
      <c r="S20" s="37" t="n">
        <f aca="false">IF($C$13=1,MAX(0,MIN(DATE(S$19,12,31),$C$14)-MAX(Inputs!$C$5+1,DATE(S$19,1,1))+1)/365,IF(S$19&lt;=$C$15,(DATE(S$19,12,31)-MAX(Inputs!$C$5+1,DATE(S$19,1,1))+1)/365,0))</f>
        <v>0</v>
      </c>
      <c r="T20" s="37" t="n">
        <f aca="false">IF($C$13=1,MAX(0,MIN(DATE(T$19,12,31),$C$14)-MAX(Inputs!$C$5+1,DATE(T$19,1,1))+1)/365,IF(T$19&lt;=$C$15,(DATE(T$19,12,31)-MAX(Inputs!$C$5+1,DATE(T$19,1,1))+1)/365,0))</f>
        <v>0</v>
      </c>
      <c r="U20" s="37" t="n">
        <f aca="false">IF($C$13=1,MAX(0,MIN(DATE(U$19,12,31),$C$14)-MAX(Inputs!$C$5+1,DATE(U$19,1,1))+1)/365,IF(U$19&lt;=$C$15,(DATE(U$19,12,31)-MAX(Inputs!$C$5+1,DATE(U$19,1,1))+1)/365,0))</f>
        <v>0</v>
      </c>
      <c r="V20" s="37" t="n">
        <f aca="false">IF($C$13=1,MAX(0,MIN(DATE(V$19,12,31),$C$14)-MAX(Inputs!$C$5+1,DATE(V$19,1,1))+1)/365,IF(V$19&lt;=$C$15,(DATE(V$19,12,31)-MAX(Inputs!$C$5+1,DATE(V$19,1,1))+1)/365,0))</f>
        <v>0</v>
      </c>
      <c r="W20" s="37" t="n">
        <f aca="false">IF($C$13=1,MAX(0,MIN(DATE(W$19,12,31),$C$14)-MAX(Inputs!$C$5+1,DATE(W$19,1,1))+1)/365,IF(W$19&lt;=$C$15,(DATE(W$19,12,31)-MAX(Inputs!$C$5+1,DATE(W$19,1,1))+1)/365,0))</f>
        <v>0</v>
      </c>
      <c r="X20" s="37" t="n">
        <f aca="false">IF($C$13=1,MAX(0,MIN(DATE(X$19,12,31),$C$14)-MAX(Inputs!$C$5+1,DATE(X$19,1,1))+1)/365,IF(X$19&lt;=$C$15,(DATE(X$19,12,31)-MAX(Inputs!$C$5+1,DATE(X$19,1,1))+1)/365,0))</f>
        <v>0</v>
      </c>
      <c r="Y20" s="37" t="n">
        <f aca="false">IF($C$13=1,MAX(0,MIN(DATE(Y$19,12,31),$C$14)-MAX(Inputs!$C$5+1,DATE(Y$19,1,1))+1)/365,IF(Y$19&lt;=$C$15,(DATE(Y$19,12,31)-MAX(Inputs!$C$5+1,DATE(Y$19,1,1))+1)/365,0))</f>
        <v>0</v>
      </c>
      <c r="Z20" s="37" t="n">
        <f aca="false">IF($C$13=1,MAX(0,MIN(DATE(Z$19,12,31),$C$14)-MAX(Inputs!$C$5+1,DATE(Z$19,1,1))+1)/365,IF(Z$19&lt;=$C$15,(DATE(Z$19,12,31)-MAX(Inputs!$C$5+1,DATE(Z$19,1,1))+1)/365,0))</f>
        <v>0</v>
      </c>
      <c r="AA20" s="37" t="n">
        <f aca="false">IF($C$13=1,MAX(0,MIN(DATE(AA$19,12,31),$C$14)-MAX(Inputs!$C$5+1,DATE(AA$19,1,1))+1)/365,IF(AA$19&lt;=$C$15,(DATE(AA$19,12,31)-MAX(Inputs!$C$5+1,DATE(AA$19,1,1))+1)/365,0))</f>
        <v>0</v>
      </c>
      <c r="AB20" s="37" t="n">
        <f aca="false">IF($C$13=1,MAX(0,MIN(DATE(AB$19,12,31),$C$14)-MAX(Inputs!$C$5+1,DATE(AB$19,1,1))+1)/365,IF(AB$19&lt;=$C$15,(DATE(AB$19,12,31)-MAX(Inputs!$C$5+1,DATE(AB$19,1,1))+1)/365,0))</f>
        <v>0</v>
      </c>
      <c r="AC20" s="37" t="n">
        <f aca="false">IF($C$13=1,MAX(0,MIN(DATE(AC$19,12,31),$C$14)-MAX(Inputs!$C$5+1,DATE(AC$19,1,1))+1)/365,IF(AC$19&lt;=$C$15,(DATE(AC$19,12,31)-MAX(Inputs!$C$5+1,DATE(AC$19,1,1))+1)/365,0))</f>
        <v>0</v>
      </c>
      <c r="AD20" s="37" t="n">
        <f aca="false">IF($C$13=1,MAX(0,MIN(DATE(AD$19,12,31),$C$14)-MAX(Inputs!$C$5+1,DATE(AD$19,1,1))+1)/365,IF(AD$19&lt;=$C$15,(DATE(AD$19,12,31)-MAX(Inputs!$C$5+1,DATE(AD$19,1,1))+1)/365,0))</f>
        <v>0</v>
      </c>
      <c r="AE20" s="37" t="n">
        <f aca="false">IF($C$13=1,MAX(0,MIN(DATE(AE$19,12,31),$C$14)-MAX(Inputs!$C$5+1,DATE(AE$19,1,1))+1)/365,IF(AE$19&lt;=$C$15,(DATE(AE$19,12,31)-MAX(Inputs!$C$5+1,DATE(AE$19,1,1))+1)/365,0))</f>
        <v>0</v>
      </c>
      <c r="AF20" s="37" t="n">
        <f aca="false">IF($C$13=1,MAX(0,MIN(DATE(AF$19,12,31),$C$14)-MAX(Inputs!$C$5+1,DATE(AF$19,1,1))+1)/365,IF(AF$19&lt;=$C$15,(DATE(AF$19,12,31)-MAX(Inputs!$C$5+1,DATE(AF$19,1,1))+1)/365,0))</f>
        <v>0</v>
      </c>
      <c r="AG20" s="37" t="n">
        <f aca="false">IF($C$13=1,MAX(0,MIN(DATE(AG$19,12,31),$C$14)-MAX(Inputs!$C$5+1,DATE(AG$19,1,1))+1)/365,IF(AG$19&lt;=$C$15,(DATE(AG$19,12,31)-MAX(Inputs!$C$5+1,DATE(AG$19,1,1))+1)/365,0))</f>
        <v>0</v>
      </c>
      <c r="AH20" s="37" t="n">
        <f aca="false">IF($C$13=1,MAX(0,MIN(DATE(AH$19,12,31),$C$14)-MAX(Inputs!$C$5+1,DATE(AH$19,1,1))+1)/365,IF(AH$19&lt;=$C$15,(DATE(AH$19,12,31)-MAX(Inputs!$C$5+1,DATE(AH$19,1,1))+1)/365,0))</f>
        <v>0</v>
      </c>
      <c r="AI20" s="37" t="n">
        <f aca="false">IF($C$13=1,MAX(0,MIN(DATE(AI$19,12,31),$C$14)-MAX(Inputs!$C$5+1,DATE(AI$19,1,1))+1)/365,IF(AI$19&lt;=$C$15,(DATE(AI$19,12,31)-MAX(Inputs!$C$5+1,DATE(AI$19,1,1))+1)/365,0))</f>
        <v>0</v>
      </c>
      <c r="AJ20" s="37" t="n">
        <f aca="false">IF($C$13=1,MAX(0,MIN(DATE(AJ$19,12,31),$C$14)-MAX(Inputs!$C$5+1,DATE(AJ$19,1,1))+1)/365,IF(AJ$19&lt;=$C$15,(DATE(AJ$19,12,31)-MAX(Inputs!$C$5+1,DATE(AJ$19,1,1))+1)/365,0))</f>
        <v>0</v>
      </c>
      <c r="AK20" s="37" t="n">
        <f aca="false">IF($C$13=1,MAX(0,MIN(DATE(AK$19,12,31),$C$14)-MAX(Inputs!$C$5+1,DATE(AK$19,1,1))+1)/365,IF(AK$19&lt;=$C$15,(DATE(AK$19,12,31)-MAX(Inputs!$C$5+1,DATE(AK$19,1,1))+1)/365,0))</f>
        <v>0</v>
      </c>
      <c r="AL20" s="37" t="n">
        <f aca="false">IF($C$13=1,MAX(0,MIN(DATE(AL$19,12,31),$C$14)-MAX(Inputs!$C$5+1,DATE(AL$19,1,1))+1)/365,IF(AL$19&lt;=$C$15,(DATE(AL$19,12,31)-MAX(Inputs!$C$5+1,DATE(AL$19,1,1))+1)/365,0))</f>
        <v>0</v>
      </c>
      <c r="AM20" s="37" t="n">
        <f aca="false">IF($C$13=1,MAX(0,MIN(DATE(AM$19,12,31),$C$14)-MAX(Inputs!$C$5+1,DATE(AM$19,1,1))+1)/365,IF(AM$19&lt;=$C$15,(DATE(AM$19,12,31)-MAX(Inputs!$C$5+1,DATE(AM$19,1,1))+1)/365,0))</f>
        <v>0</v>
      </c>
      <c r="AN20" s="37" t="n">
        <f aca="false">IF($C$13=1,MAX(0,MIN(DATE(AN$19,12,31),$C$14)-MAX(Inputs!$C$5+1,DATE(AN$19,1,1))+1)/365,IF(AN$19&lt;=$C$15,(DATE(AN$19,12,31)-MAX(Inputs!$C$5+1,DATE(AN$19,1,1))+1)/365,0))</f>
        <v>0</v>
      </c>
      <c r="AO20" s="37" t="n">
        <f aca="false">IF($C$13=1,MAX(0,MIN(DATE(AO$19,12,31),$C$14)-MAX(Inputs!$C$5+1,DATE(AO$19,1,1))+1)/365,IF(AO$19&lt;=$C$15,(DATE(AO$19,12,31)-MAX(Inputs!$C$5+1,DATE(AO$19,1,1))+1)/365,0))</f>
        <v>0</v>
      </c>
      <c r="AP20" s="37" t="n">
        <f aca="false">IF($C$13=1,MAX(0,MIN(DATE(AP$19,12,31),$C$14)-MAX(Inputs!$C$5+1,DATE(AP$19,1,1))+1)/365,IF(AP$19&lt;=$C$15,(DATE(AP$19,12,31)-MAX(Inputs!$C$5+1,DATE(AP$19,1,1))+1)/365,0))</f>
        <v>0</v>
      </c>
      <c r="AQ20" s="37" t="n">
        <f aca="false">IF($C$13=1,MAX(0,MIN(DATE(AQ$19,12,31),$C$14)-MAX(Inputs!$C$5+1,DATE(AQ$19,1,1))+1)/365,IF(AQ$19&lt;=$C$15,(DATE(AQ$19,12,31)-MAX(Inputs!$C$5+1,DATE(AQ$19,1,1))+1)/365,0))</f>
        <v>0</v>
      </c>
      <c r="AR20" s="37" t="n">
        <f aca="false">IF($C$13=1,MAX(0,MIN(DATE(AR$19,12,31),$C$14)-MAX(Inputs!$C$5+1,DATE(AR$19,1,1))+1)/365,IF(AR$19&lt;=$C$15,(DATE(AR$19,12,31)-MAX(Inputs!$C$5+1,DATE(AR$19,1,1))+1)/365,0))</f>
        <v>0</v>
      </c>
      <c r="AS20" s="37" t="n">
        <f aca="false">IF($C$13=1,MAX(0,MIN(DATE(AS$19,12,31),$C$14)-MAX(Inputs!$C$5+1,DATE(AS$19,1,1))+1)/365,IF(AS$19&lt;=$C$15,(DATE(AS$19,12,31)-MAX(Inputs!$C$5+1,DATE(AS$19,1,1))+1)/365,0))</f>
        <v>0</v>
      </c>
      <c r="AT20" s="37" t="n">
        <f aca="false">IF($C$13=1,MAX(0,MIN(DATE(AT$19,12,31),$C$14)-MAX(Inputs!$C$5+1,DATE(AT$19,1,1))+1)/365,IF(AT$19&lt;=$C$15,(DATE(AT$19,12,31)-MAX(Inputs!$C$5+1,DATE(AT$19,1,1))+1)/365,0))</f>
        <v>0</v>
      </c>
      <c r="AU20" s="37" t="n">
        <f aca="false">IF($C$13=1,MAX(0,MIN(DATE(AU$19,12,31),$C$14)-MAX(Inputs!$C$5+1,DATE(AU$19,1,1))+1)/365,IF(AU$19&lt;=$C$15,(DATE(AU$19,12,31)-MAX(Inputs!$C$5+1,DATE(AU$19,1,1))+1)/365,0))</f>
        <v>0</v>
      </c>
      <c r="AV20" s="37" t="n">
        <f aca="false">IF($C$13=1,MAX(0,MIN(DATE(AV$19,12,31),$C$14)-MAX(Inputs!$C$5+1,DATE(AV$19,1,1))+1)/365,IF(AV$19&lt;=$C$15,(DATE(AV$19,12,31)-MAX(Inputs!$C$5+1,DATE(AV$19,1,1))+1)/365,0))</f>
        <v>0</v>
      </c>
    </row>
    <row r="21" customFormat="false" ht="15" hidden="false" customHeight="false" outlineLevel="0" collapsed="false">
      <c r="B21" s="7" t="s">
        <v>138</v>
      </c>
      <c r="D21" s="16" t="n">
        <f aca="false">$C$5*(1+$C$6)</f>
        <v>3901.497</v>
      </c>
      <c r="E21" s="16" t="n">
        <f aca="false">D21*(1+$C$7)</f>
        <v>3983.428437</v>
      </c>
      <c r="F21" s="16" t="n">
        <f aca="false">E21*(1+$C$7)</f>
        <v>4067.080434177</v>
      </c>
      <c r="G21" s="16" t="n">
        <f aca="false">F21*(1+$C$7)</f>
        <v>4152.48912329472</v>
      </c>
      <c r="H21" s="16" t="n">
        <f aca="false">G21*(1+$C$7)</f>
        <v>4239.69139488391</v>
      </c>
      <c r="I21" s="16" t="n">
        <f aca="false">H21*(1+$C$7)</f>
        <v>4328.72491417647</v>
      </c>
      <c r="J21" s="16" t="n">
        <f aca="false">I21*(1+$C$7)</f>
        <v>4419.62813737417</v>
      </c>
      <c r="K21" s="16" t="n">
        <f aca="false">J21*(1+$C$7)</f>
        <v>4512.44032825903</v>
      </c>
      <c r="L21" s="16" t="n">
        <f aca="false">K21*(1+$C$7)</f>
        <v>4607.20157515247</v>
      </c>
      <c r="M21" s="16" t="n">
        <f aca="false">L21*(1+$C$7)</f>
        <v>4703.95280823067</v>
      </c>
      <c r="N21" s="16" t="n">
        <f aca="false">M21*(1+$C$7)</f>
        <v>4802.73581720351</v>
      </c>
      <c r="O21" s="16" t="n">
        <f aca="false">N21*(1+$C$7)</f>
        <v>4903.59326936479</v>
      </c>
      <c r="P21" s="16" t="n">
        <f aca="false">O21*(1+$C$7)</f>
        <v>5006.56872802145</v>
      </c>
      <c r="Q21" s="16" t="n">
        <f aca="false">P21*(1+$C$7)</f>
        <v>5111.7066713099</v>
      </c>
      <c r="R21" s="16" t="n">
        <f aca="false">Q21*(1+$C$7)</f>
        <v>5219.0525114074</v>
      </c>
      <c r="S21" s="16" t="n">
        <f aca="false">R21*(1+$C$7)</f>
        <v>5328.65261414696</v>
      </c>
      <c r="T21" s="16" t="n">
        <f aca="false">S21*(1+$C$7)</f>
        <v>5440.55431904404</v>
      </c>
      <c r="U21" s="16" t="n">
        <f aca="false">T21*(1+$C$7)</f>
        <v>5554.80595974397</v>
      </c>
      <c r="V21" s="16" t="n">
        <f aca="false">U21*(1+$C$7)</f>
        <v>5671.45688489859</v>
      </c>
      <c r="W21" s="16" t="n">
        <f aca="false">V21*(1+$C$7)</f>
        <v>5790.55747948146</v>
      </c>
      <c r="X21" s="16" t="n">
        <f aca="false">W21*(1+$C$7)</f>
        <v>5912.15918655057</v>
      </c>
      <c r="Y21" s="16" t="n">
        <f aca="false">X21*(1+$C$7)</f>
        <v>6036.31452946813</v>
      </c>
      <c r="Z21" s="16" t="n">
        <f aca="false">Y21*(1+$C$7)</f>
        <v>6163.07713458696</v>
      </c>
      <c r="AA21" s="16" t="n">
        <f aca="false">Z21*(1+$C$7)</f>
        <v>6292.50175441329</v>
      </c>
      <c r="AB21" s="16" t="n">
        <f aca="false">AA21*(1+$C$7)</f>
        <v>6424.64429125597</v>
      </c>
      <c r="AC21" s="16" t="n">
        <f aca="false">AB21*(1+$C$7)</f>
        <v>6559.56182137234</v>
      </c>
      <c r="AD21" s="16" t="n">
        <f aca="false">AC21*(1+$C$7)</f>
        <v>6697.31261962116</v>
      </c>
      <c r="AE21" s="16" t="n">
        <f aca="false">AD21*(1+$C$7)</f>
        <v>6837.9561846332</v>
      </c>
      <c r="AF21" s="16" t="n">
        <f aca="false">AE21*(1+$C$7)</f>
        <v>6981.5532645105</v>
      </c>
      <c r="AG21" s="16" t="n">
        <f aca="false">AF21*(1+$C$7)</f>
        <v>7128.16588306522</v>
      </c>
      <c r="AH21" s="16" t="n">
        <f aca="false">AG21*(1+$C$7)</f>
        <v>7277.85736660959</v>
      </c>
      <c r="AI21" s="16" t="n">
        <f aca="false">AH21*(1+$C$7)</f>
        <v>7430.69237130839</v>
      </c>
      <c r="AJ21" s="16" t="n">
        <f aca="false">AI21*(1+$C$7)</f>
        <v>7586.73691110586</v>
      </c>
      <c r="AK21" s="16" t="n">
        <f aca="false">AJ21*(1+$C$7)</f>
        <v>7746.05838623909</v>
      </c>
      <c r="AL21" s="16" t="n">
        <f aca="false">AK21*(1+$C$7)</f>
        <v>7908.72561235011</v>
      </c>
      <c r="AM21" s="16" t="n">
        <f aca="false">AL21*(1+$C$7)</f>
        <v>8074.80885020946</v>
      </c>
      <c r="AN21" s="16" t="n">
        <f aca="false">AM21*(1+$C$7)</f>
        <v>8244.37983606386</v>
      </c>
      <c r="AO21" s="16" t="n">
        <f aca="false">AN21*(1+$C$7)</f>
        <v>8417.5118126212</v>
      </c>
      <c r="AP21" s="16" t="n">
        <f aca="false">AO21*(1+$C$7)</f>
        <v>8594.27956068624</v>
      </c>
      <c r="AQ21" s="16" t="n">
        <f aca="false">AP21*(1+$C$7)</f>
        <v>8774.75943146065</v>
      </c>
      <c r="AR21" s="16" t="n">
        <f aca="false">AQ21*(1+$C$7)</f>
        <v>8959.02937952132</v>
      </c>
      <c r="AS21" s="16" t="n">
        <f aca="false">AR21*(1+$C$7)</f>
        <v>9147.16899649127</v>
      </c>
      <c r="AT21" s="16" t="n">
        <f aca="false">AS21*(1+$C$7)</f>
        <v>9339.25954541759</v>
      </c>
      <c r="AU21" s="16" t="n">
        <f aca="false">AT21*(1+$C$7)</f>
        <v>9535.38399587135</v>
      </c>
      <c r="AV21" s="16" t="n">
        <f aca="false">AU21*(1+$C$7)</f>
        <v>9735.62705978465</v>
      </c>
    </row>
    <row r="22" customFormat="false" ht="15" hidden="false" customHeight="false" outlineLevel="0" collapsed="false">
      <c r="B22" s="7" t="s">
        <v>139</v>
      </c>
      <c r="D22" s="16" t="n">
        <f aca="false">D21*$C$8</f>
        <v>2772.0136185</v>
      </c>
      <c r="E22" s="16" t="n">
        <f aca="false">E21*$C$8</f>
        <v>2830.2259044885</v>
      </c>
      <c r="F22" s="16" t="n">
        <f aca="false">F21*$C$8</f>
        <v>2889.66064848276</v>
      </c>
      <c r="G22" s="16" t="n">
        <f aca="false">G21*$C$8</f>
        <v>2950.3435221009</v>
      </c>
      <c r="H22" s="16" t="n">
        <f aca="false">H21*$C$8</f>
        <v>3012.30073606501</v>
      </c>
      <c r="I22" s="16" t="n">
        <f aca="false">I21*$C$8</f>
        <v>3075.55905152238</v>
      </c>
      <c r="J22" s="16" t="n">
        <f aca="false">J21*$C$8</f>
        <v>3140.14579160435</v>
      </c>
      <c r="K22" s="16" t="n">
        <f aca="false">K21*$C$8</f>
        <v>3206.08885322804</v>
      </c>
      <c r="L22" s="16" t="n">
        <f aca="false">L21*$C$8</f>
        <v>3273.41671914583</v>
      </c>
      <c r="M22" s="16" t="n">
        <f aca="false">M21*$C$8</f>
        <v>3342.15847024789</v>
      </c>
      <c r="N22" s="16" t="n">
        <f aca="false">N21*$C$8</f>
        <v>3412.3437981231</v>
      </c>
      <c r="O22" s="16" t="n">
        <f aca="false">O21*$C$8</f>
        <v>3484.00301788368</v>
      </c>
      <c r="P22" s="16" t="n">
        <f aca="false">P21*$C$8</f>
        <v>3557.16708125924</v>
      </c>
      <c r="Q22" s="16" t="n">
        <f aca="false">Q21*$C$8</f>
        <v>3631.86758996568</v>
      </c>
      <c r="R22" s="16" t="n">
        <f aca="false">R21*$C$8</f>
        <v>3708.13680935496</v>
      </c>
      <c r="S22" s="16" t="n">
        <f aca="false">S21*$C$8</f>
        <v>3786.00768235141</v>
      </c>
      <c r="T22" s="16" t="n">
        <f aca="false">T21*$C$8</f>
        <v>3865.51384368079</v>
      </c>
      <c r="U22" s="16" t="n">
        <f aca="false">U21*$C$8</f>
        <v>3946.68963439809</v>
      </c>
      <c r="V22" s="16" t="n">
        <f aca="false">V21*$C$8</f>
        <v>4029.57011672045</v>
      </c>
      <c r="W22" s="16" t="n">
        <f aca="false">W21*$C$8</f>
        <v>4114.19108917158</v>
      </c>
      <c r="X22" s="16" t="n">
        <f aca="false">X21*$C$8</f>
        <v>4200.58910204418</v>
      </c>
      <c r="Y22" s="16" t="n">
        <f aca="false">Y21*$C$8</f>
        <v>4288.80147318711</v>
      </c>
      <c r="Z22" s="16" t="n">
        <f aca="false">Z21*$C$8</f>
        <v>4378.86630412404</v>
      </c>
      <c r="AA22" s="16" t="n">
        <f aca="false">AA21*$C$8</f>
        <v>4470.82249651064</v>
      </c>
      <c r="AB22" s="16" t="n">
        <f aca="false">AB21*$C$8</f>
        <v>4564.70976893736</v>
      </c>
      <c r="AC22" s="16" t="n">
        <f aca="false">AC21*$C$8</f>
        <v>4660.56867408505</v>
      </c>
      <c r="AD22" s="16" t="n">
        <f aca="false">AD21*$C$8</f>
        <v>4758.44061624083</v>
      </c>
      <c r="AE22" s="16" t="n">
        <f aca="false">AE21*$C$8</f>
        <v>4858.36786918189</v>
      </c>
      <c r="AF22" s="16" t="n">
        <f aca="false">AF21*$C$8</f>
        <v>4960.39359443471</v>
      </c>
      <c r="AG22" s="16" t="n">
        <f aca="false">AG21*$C$8</f>
        <v>5064.56185991784</v>
      </c>
      <c r="AH22" s="16" t="n">
        <f aca="false">AH21*$C$8</f>
        <v>5170.91765897611</v>
      </c>
      <c r="AI22" s="16" t="n">
        <f aca="false">AI21*$C$8</f>
        <v>5279.50692981461</v>
      </c>
      <c r="AJ22" s="16" t="n">
        <f aca="false">AJ21*$C$8</f>
        <v>5390.37657534072</v>
      </c>
      <c r="AK22" s="16" t="n">
        <f aca="false">AK21*$C$8</f>
        <v>5503.57448342287</v>
      </c>
      <c r="AL22" s="16" t="n">
        <f aca="false">AL21*$C$8</f>
        <v>5619.14954757475</v>
      </c>
      <c r="AM22" s="16" t="n">
        <f aca="false">AM21*$C$8</f>
        <v>5737.15168807382</v>
      </c>
      <c r="AN22" s="16" t="n">
        <f aca="false">AN21*$C$8</f>
        <v>5857.63187352337</v>
      </c>
      <c r="AO22" s="16" t="n">
        <f aca="false">AO21*$C$8</f>
        <v>5980.64214286736</v>
      </c>
      <c r="AP22" s="16" t="n">
        <f aca="false">AP21*$C$8</f>
        <v>6106.23562786757</v>
      </c>
      <c r="AQ22" s="16" t="n">
        <f aca="false">AQ21*$C$8</f>
        <v>6234.46657605279</v>
      </c>
      <c r="AR22" s="16" t="n">
        <f aca="false">AR21*$C$8</f>
        <v>6365.3903741499</v>
      </c>
      <c r="AS22" s="16" t="n">
        <f aca="false">AS21*$C$8</f>
        <v>6499.06357200705</v>
      </c>
      <c r="AT22" s="16" t="n">
        <f aca="false">AT21*$C$8</f>
        <v>6635.5439070192</v>
      </c>
      <c r="AU22" s="16" t="n">
        <f aca="false">AU21*$C$8</f>
        <v>6774.8903290666</v>
      </c>
      <c r="AV22" s="16" t="n">
        <f aca="false">AV21*$C$8</f>
        <v>6917.163025977</v>
      </c>
    </row>
    <row r="23" customFormat="false" ht="15" hidden="false" customHeight="false" outlineLevel="0" collapsed="false">
      <c r="B23" s="7" t="s">
        <v>140</v>
      </c>
      <c r="D23" s="16" t="n">
        <f aca="false">-D21*$C$9</f>
        <v>-870.8141304</v>
      </c>
      <c r="E23" s="16" t="n">
        <f aca="false">-E21*$C$9</f>
        <v>-889.1012271384</v>
      </c>
      <c r="F23" s="16" t="n">
        <f aca="false">-F21*$C$9</f>
        <v>-907.772352908306</v>
      </c>
      <c r="G23" s="16" t="n">
        <f aca="false">-G21*$C$9</f>
        <v>-926.835572319381</v>
      </c>
      <c r="H23" s="16" t="n">
        <f aca="false">-H21*$C$9</f>
        <v>-946.299119338088</v>
      </c>
      <c r="I23" s="16" t="n">
        <f aca="false">-I21*$C$9</f>
        <v>-966.171400844187</v>
      </c>
      <c r="J23" s="16" t="n">
        <f aca="false">-J21*$C$9</f>
        <v>-986.461000261915</v>
      </c>
      <c r="K23" s="16" t="n">
        <f aca="false">-K21*$C$9</f>
        <v>-1007.17668126742</v>
      </c>
      <c r="L23" s="16" t="n">
        <f aca="false">-L21*$C$9</f>
        <v>-1028.32739157403</v>
      </c>
      <c r="M23" s="16" t="n">
        <f aca="false">-M21*$C$9</f>
        <v>-1049.92226679709</v>
      </c>
      <c r="N23" s="16" t="n">
        <f aca="false">-N21*$C$9</f>
        <v>-1071.97063439982</v>
      </c>
      <c r="O23" s="16" t="n">
        <f aca="false">-O21*$C$9</f>
        <v>-1094.48201772222</v>
      </c>
      <c r="P23" s="16" t="n">
        <f aca="false">-P21*$C$9</f>
        <v>-1117.46614009439</v>
      </c>
      <c r="Q23" s="16" t="n">
        <f aca="false">-Q21*$C$9</f>
        <v>-1140.93292903637</v>
      </c>
      <c r="R23" s="16" t="n">
        <f aca="false">-R21*$C$9</f>
        <v>-1164.89252054613</v>
      </c>
      <c r="S23" s="16" t="n">
        <f aca="false">-S21*$C$9</f>
        <v>-1189.3552634776</v>
      </c>
      <c r="T23" s="16" t="n">
        <f aca="false">-T21*$C$9</f>
        <v>-1214.33172401063</v>
      </c>
      <c r="U23" s="16" t="n">
        <f aca="false">-U21*$C$9</f>
        <v>-1239.83269021485</v>
      </c>
      <c r="V23" s="16" t="n">
        <f aca="false">-V21*$C$9</f>
        <v>-1265.86917670937</v>
      </c>
      <c r="W23" s="16" t="n">
        <f aca="false">-W21*$C$9</f>
        <v>-1292.45242942026</v>
      </c>
      <c r="X23" s="16" t="n">
        <f aca="false">-X21*$C$9</f>
        <v>-1319.59393043809</v>
      </c>
      <c r="Y23" s="16" t="n">
        <f aca="false">-Y21*$C$9</f>
        <v>-1347.30540297729</v>
      </c>
      <c r="Z23" s="16" t="n">
        <f aca="false">-Z21*$C$9</f>
        <v>-1375.59881643981</v>
      </c>
      <c r="AA23" s="16" t="n">
        <f aca="false">-AA21*$C$9</f>
        <v>-1404.48639158505</v>
      </c>
      <c r="AB23" s="16" t="n">
        <f aca="false">-AB21*$C$9</f>
        <v>-1433.98060580833</v>
      </c>
      <c r="AC23" s="16" t="n">
        <f aca="false">-AC21*$C$9</f>
        <v>-1464.09419853031</v>
      </c>
      <c r="AD23" s="16" t="n">
        <f aca="false">-AD21*$C$9</f>
        <v>-1494.84017669944</v>
      </c>
      <c r="AE23" s="16" t="n">
        <f aca="false">-AE21*$C$9</f>
        <v>-1526.23182041013</v>
      </c>
      <c r="AF23" s="16" t="n">
        <f aca="false">-AF21*$C$9</f>
        <v>-1558.28268863874</v>
      </c>
      <c r="AG23" s="16" t="n">
        <f aca="false">-AG21*$C$9</f>
        <v>-1591.00662510016</v>
      </c>
      <c r="AH23" s="16" t="n">
        <f aca="false">-AH21*$C$9</f>
        <v>-1624.41776422726</v>
      </c>
      <c r="AI23" s="16" t="n">
        <f aca="false">-AI21*$C$9</f>
        <v>-1658.53053727603</v>
      </c>
      <c r="AJ23" s="16" t="n">
        <f aca="false">-AJ21*$C$9</f>
        <v>-1693.35967855883</v>
      </c>
      <c r="AK23" s="16" t="n">
        <f aca="false">-AK21*$C$9</f>
        <v>-1728.92023180856</v>
      </c>
      <c r="AL23" s="16" t="n">
        <f aca="false">-AL21*$C$9</f>
        <v>-1765.22755667654</v>
      </c>
      <c r="AM23" s="16" t="n">
        <f aca="false">-AM21*$C$9</f>
        <v>-1802.29733536675</v>
      </c>
      <c r="AN23" s="16" t="n">
        <f aca="false">-AN21*$C$9</f>
        <v>-1840.14557940945</v>
      </c>
      <c r="AO23" s="16" t="n">
        <f aca="false">-AO21*$C$9</f>
        <v>-1878.78863657705</v>
      </c>
      <c r="AP23" s="16" t="n">
        <f aca="false">-AP21*$C$9</f>
        <v>-1918.24319794517</v>
      </c>
      <c r="AQ23" s="16" t="n">
        <f aca="false">-AQ21*$C$9</f>
        <v>-1958.52630510202</v>
      </c>
      <c r="AR23" s="16" t="n">
        <f aca="false">-AR21*$C$9</f>
        <v>-1999.65535750916</v>
      </c>
      <c r="AS23" s="16" t="n">
        <f aca="false">-AS21*$C$9</f>
        <v>-2041.64812001685</v>
      </c>
      <c r="AT23" s="16" t="n">
        <f aca="false">-AT21*$C$9</f>
        <v>-2084.52273053721</v>
      </c>
      <c r="AU23" s="16" t="n">
        <f aca="false">-AU21*$C$9</f>
        <v>-2128.29770787849</v>
      </c>
      <c r="AV23" s="16" t="n">
        <f aca="false">-AV21*$C$9</f>
        <v>-2172.99195974393</v>
      </c>
    </row>
    <row r="24" customFormat="false" ht="15" hidden="false" customHeight="false" outlineLevel="0" collapsed="false">
      <c r="B24" s="7" t="s">
        <v>141</v>
      </c>
      <c r="D24" s="16" t="n">
        <f aca="false">D22+D23</f>
        <v>1901.1994881</v>
      </c>
      <c r="E24" s="16" t="n">
        <f aca="false">E22+E23</f>
        <v>1941.1246773501</v>
      </c>
      <c r="F24" s="16" t="n">
        <f aca="false">F22+F23</f>
        <v>1981.88829557445</v>
      </c>
      <c r="G24" s="16" t="n">
        <f aca="false">G22+G23</f>
        <v>2023.50794978151</v>
      </c>
      <c r="H24" s="16" t="n">
        <f aca="false">H22+H23</f>
        <v>2066.00161672693</v>
      </c>
      <c r="I24" s="16" t="n">
        <f aca="false">I22+I23</f>
        <v>2109.38765067819</v>
      </c>
      <c r="J24" s="16" t="n">
        <f aca="false">J22+J23</f>
        <v>2153.68479134243</v>
      </c>
      <c r="K24" s="16" t="n">
        <f aca="false">K22+K23</f>
        <v>2198.91217196062</v>
      </c>
      <c r="L24" s="16" t="n">
        <f aca="false">L22+L23</f>
        <v>2245.0893275718</v>
      </c>
      <c r="M24" s="16" t="n">
        <f aca="false">M22+M23</f>
        <v>2292.23620345081</v>
      </c>
      <c r="N24" s="16" t="n">
        <f aca="false">N22+N23</f>
        <v>2340.37316372327</v>
      </c>
      <c r="O24" s="16" t="n">
        <f aca="false">O22+O23</f>
        <v>2389.52100016146</v>
      </c>
      <c r="P24" s="16" t="n">
        <f aca="false">P22+P23</f>
        <v>2439.70094116485</v>
      </c>
      <c r="Q24" s="16" t="n">
        <f aca="false">Q22+Q23</f>
        <v>2490.93466092931</v>
      </c>
      <c r="R24" s="16" t="n">
        <f aca="false">R22+R23</f>
        <v>2543.24428880883</v>
      </c>
      <c r="S24" s="16" t="n">
        <f aca="false">S22+S23</f>
        <v>2596.65241887381</v>
      </c>
      <c r="T24" s="16" t="n">
        <f aca="false">T22+T23</f>
        <v>2651.18211967016</v>
      </c>
      <c r="U24" s="16" t="n">
        <f aca="false">U22+U23</f>
        <v>2706.85694418324</v>
      </c>
      <c r="V24" s="16" t="n">
        <f aca="false">V22+V23</f>
        <v>2763.70094001108</v>
      </c>
      <c r="W24" s="16" t="n">
        <f aca="false">W22+W23</f>
        <v>2821.73865975132</v>
      </c>
      <c r="X24" s="16" t="n">
        <f aca="false">X22+X23</f>
        <v>2880.99517160609</v>
      </c>
      <c r="Y24" s="16" t="n">
        <f aca="false">Y22+Y23</f>
        <v>2941.49607020982</v>
      </c>
      <c r="Z24" s="16" t="n">
        <f aca="false">Z22+Z23</f>
        <v>3003.26748768423</v>
      </c>
      <c r="AA24" s="16" t="n">
        <f aca="false">AA22+AA23</f>
        <v>3066.33610492559</v>
      </c>
      <c r="AB24" s="16" t="n">
        <f aca="false">AB22+AB23</f>
        <v>3130.72916312903</v>
      </c>
      <c r="AC24" s="16" t="n">
        <f aca="false">AC22+AC23</f>
        <v>3196.47447555474</v>
      </c>
      <c r="AD24" s="16" t="n">
        <f aca="false">AD22+AD23</f>
        <v>3263.60043954139</v>
      </c>
      <c r="AE24" s="16" t="n">
        <f aca="false">AE22+AE23</f>
        <v>3332.13604877176</v>
      </c>
      <c r="AF24" s="16" t="n">
        <f aca="false">AF22+AF23</f>
        <v>3402.11090579597</v>
      </c>
      <c r="AG24" s="16" t="n">
        <f aca="false">AG22+AG23</f>
        <v>3473.55523481768</v>
      </c>
      <c r="AH24" s="16" t="n">
        <f aca="false">AH22+AH23</f>
        <v>3546.49989474885</v>
      </c>
      <c r="AI24" s="16" t="n">
        <f aca="false">AI22+AI23</f>
        <v>3620.97639253858</v>
      </c>
      <c r="AJ24" s="16" t="n">
        <f aca="false">AJ22+AJ23</f>
        <v>3697.01689678189</v>
      </c>
      <c r="AK24" s="16" t="n">
        <f aca="false">AK22+AK23</f>
        <v>3774.65425161431</v>
      </c>
      <c r="AL24" s="16" t="n">
        <f aca="false">AL22+AL23</f>
        <v>3853.92199089821</v>
      </c>
      <c r="AM24" s="16" t="n">
        <f aca="false">AM22+AM23</f>
        <v>3934.85435270707</v>
      </c>
      <c r="AN24" s="16" t="n">
        <f aca="false">AN22+AN23</f>
        <v>4017.48629411392</v>
      </c>
      <c r="AO24" s="16" t="n">
        <f aca="false">AO22+AO23</f>
        <v>4101.85350629031</v>
      </c>
      <c r="AP24" s="16" t="n">
        <f aca="false">AP22+AP23</f>
        <v>4187.9924299224</v>
      </c>
      <c r="AQ24" s="16" t="n">
        <f aca="false">AQ22+AQ23</f>
        <v>4275.94027095078</v>
      </c>
      <c r="AR24" s="16" t="n">
        <f aca="false">AR22+AR23</f>
        <v>4365.73501664074</v>
      </c>
      <c r="AS24" s="16" t="n">
        <f aca="false">AS22+AS23</f>
        <v>4457.4154519902</v>
      </c>
      <c r="AT24" s="16" t="n">
        <f aca="false">AT22+AT23</f>
        <v>4551.02117648199</v>
      </c>
      <c r="AU24" s="16" t="n">
        <f aca="false">AU22+AU23</f>
        <v>4646.59262118811</v>
      </c>
      <c r="AV24" s="16" t="n">
        <f aca="false">AV22+AV23</f>
        <v>4744.17106623306</v>
      </c>
    </row>
    <row r="25" customFormat="false" ht="15" hidden="false" customHeight="false" outlineLevel="0" collapsed="false">
      <c r="B25" s="7" t="s">
        <v>142</v>
      </c>
      <c r="D25" s="8" t="n">
        <f aca="false">IF(D$19=2026,Inputs!$C$10,Inputs!$C$11)</f>
        <v>0.348</v>
      </c>
      <c r="E25" s="8" t="n">
        <f aca="false">IF(E$19=2026,Inputs!$C$10,Inputs!$C$11)</f>
        <v>0.258</v>
      </c>
      <c r="F25" s="8" t="n">
        <f aca="false">IF(F$19=2026,Inputs!$C$10,Inputs!$C$11)</f>
        <v>0.258</v>
      </c>
      <c r="G25" s="8" t="n">
        <f aca="false">IF(G$19=2026,Inputs!$C$10,Inputs!$C$11)</f>
        <v>0.258</v>
      </c>
      <c r="H25" s="8" t="n">
        <f aca="false">IF(H$19=2026,Inputs!$C$10,Inputs!$C$11)</f>
        <v>0.258</v>
      </c>
      <c r="I25" s="8" t="n">
        <f aca="false">IF(I$19=2026,Inputs!$C$10,Inputs!$C$11)</f>
        <v>0.258</v>
      </c>
      <c r="J25" s="8" t="n">
        <f aca="false">IF(J$19=2026,Inputs!$C$10,Inputs!$C$11)</f>
        <v>0.258</v>
      </c>
      <c r="K25" s="8" t="n">
        <f aca="false">IF(K$19=2026,Inputs!$C$10,Inputs!$C$11)</f>
        <v>0.258</v>
      </c>
      <c r="L25" s="8" t="n">
        <f aca="false">IF(L$19=2026,Inputs!$C$10,Inputs!$C$11)</f>
        <v>0.258</v>
      </c>
      <c r="M25" s="8" t="n">
        <f aca="false">IF(M$19=2026,Inputs!$C$10,Inputs!$C$11)</f>
        <v>0.258</v>
      </c>
      <c r="N25" s="8" t="n">
        <f aca="false">IF(N$19=2026,Inputs!$C$10,Inputs!$C$11)</f>
        <v>0.258</v>
      </c>
      <c r="O25" s="8" t="n">
        <f aca="false">IF(O$19=2026,Inputs!$C$10,Inputs!$C$11)</f>
        <v>0.258</v>
      </c>
      <c r="P25" s="8" t="n">
        <f aca="false">IF(P$19=2026,Inputs!$C$10,Inputs!$C$11)</f>
        <v>0.258</v>
      </c>
      <c r="Q25" s="8" t="n">
        <f aca="false">IF(Q$19=2026,Inputs!$C$10,Inputs!$C$11)</f>
        <v>0.258</v>
      </c>
      <c r="R25" s="8" t="n">
        <f aca="false">IF(R$19=2026,Inputs!$C$10,Inputs!$C$11)</f>
        <v>0.258</v>
      </c>
      <c r="S25" s="8" t="n">
        <f aca="false">IF(S$19=2026,Inputs!$C$10,Inputs!$C$11)</f>
        <v>0.258</v>
      </c>
      <c r="T25" s="8" t="n">
        <f aca="false">IF(T$19=2026,Inputs!$C$10,Inputs!$C$11)</f>
        <v>0.258</v>
      </c>
      <c r="U25" s="8" t="n">
        <f aca="false">IF(U$19=2026,Inputs!$C$10,Inputs!$C$11)</f>
        <v>0.258</v>
      </c>
      <c r="V25" s="8" t="n">
        <f aca="false">IF(V$19=2026,Inputs!$C$10,Inputs!$C$11)</f>
        <v>0.258</v>
      </c>
      <c r="W25" s="8" t="n">
        <f aca="false">IF(W$19=2026,Inputs!$C$10,Inputs!$C$11)</f>
        <v>0.258</v>
      </c>
      <c r="X25" s="8" t="n">
        <f aca="false">IF(X$19=2026,Inputs!$C$10,Inputs!$C$11)</f>
        <v>0.258</v>
      </c>
      <c r="Y25" s="8" t="n">
        <f aca="false">IF(Y$19=2026,Inputs!$C$10,Inputs!$C$11)</f>
        <v>0.258</v>
      </c>
      <c r="Z25" s="8" t="n">
        <f aca="false">IF(Z$19=2026,Inputs!$C$10,Inputs!$C$11)</f>
        <v>0.258</v>
      </c>
      <c r="AA25" s="8" t="n">
        <f aca="false">IF(AA$19=2026,Inputs!$C$10,Inputs!$C$11)</f>
        <v>0.258</v>
      </c>
      <c r="AB25" s="8" t="n">
        <f aca="false">IF(AB$19=2026,Inputs!$C$10,Inputs!$C$11)</f>
        <v>0.258</v>
      </c>
      <c r="AC25" s="8" t="n">
        <f aca="false">IF(AC$19=2026,Inputs!$C$10,Inputs!$C$11)</f>
        <v>0.258</v>
      </c>
      <c r="AD25" s="8" t="n">
        <f aca="false">IF(AD$19=2026,Inputs!$C$10,Inputs!$C$11)</f>
        <v>0.258</v>
      </c>
      <c r="AE25" s="8" t="n">
        <f aca="false">IF(AE$19=2026,Inputs!$C$10,Inputs!$C$11)</f>
        <v>0.258</v>
      </c>
      <c r="AF25" s="8" t="n">
        <f aca="false">IF(AF$19=2026,Inputs!$C$10,Inputs!$C$11)</f>
        <v>0.258</v>
      </c>
      <c r="AG25" s="8" t="n">
        <f aca="false">IF(AG$19=2026,Inputs!$C$10,Inputs!$C$11)</f>
        <v>0.258</v>
      </c>
      <c r="AH25" s="8" t="n">
        <f aca="false">IF(AH$19=2026,Inputs!$C$10,Inputs!$C$11)</f>
        <v>0.258</v>
      </c>
      <c r="AI25" s="8" t="n">
        <f aca="false">IF(AI$19=2026,Inputs!$C$10,Inputs!$C$11)</f>
        <v>0.258</v>
      </c>
      <c r="AJ25" s="8" t="n">
        <f aca="false">IF(AJ$19=2026,Inputs!$C$10,Inputs!$C$11)</f>
        <v>0.258</v>
      </c>
      <c r="AK25" s="8" t="n">
        <f aca="false">IF(AK$19=2026,Inputs!$C$10,Inputs!$C$11)</f>
        <v>0.258</v>
      </c>
      <c r="AL25" s="8" t="n">
        <f aca="false">IF(AL$19=2026,Inputs!$C$10,Inputs!$C$11)</f>
        <v>0.258</v>
      </c>
      <c r="AM25" s="8" t="n">
        <f aca="false">IF(AM$19=2026,Inputs!$C$10,Inputs!$C$11)</f>
        <v>0.258</v>
      </c>
      <c r="AN25" s="8" t="n">
        <f aca="false">IF(AN$19=2026,Inputs!$C$10,Inputs!$C$11)</f>
        <v>0.258</v>
      </c>
      <c r="AO25" s="8" t="n">
        <f aca="false">IF(AO$19=2026,Inputs!$C$10,Inputs!$C$11)</f>
        <v>0.258</v>
      </c>
      <c r="AP25" s="8" t="n">
        <f aca="false">IF(AP$19=2026,Inputs!$C$10,Inputs!$C$11)</f>
        <v>0.258</v>
      </c>
      <c r="AQ25" s="8" t="n">
        <f aca="false">IF(AQ$19=2026,Inputs!$C$10,Inputs!$C$11)</f>
        <v>0.258</v>
      </c>
      <c r="AR25" s="8" t="n">
        <f aca="false">IF(AR$19=2026,Inputs!$C$10,Inputs!$C$11)</f>
        <v>0.258</v>
      </c>
      <c r="AS25" s="8" t="n">
        <f aca="false">IF(AS$19=2026,Inputs!$C$10,Inputs!$C$11)</f>
        <v>0.258</v>
      </c>
      <c r="AT25" s="8" t="n">
        <f aca="false">IF(AT$19=2026,Inputs!$C$10,Inputs!$C$11)</f>
        <v>0.258</v>
      </c>
      <c r="AU25" s="8" t="n">
        <f aca="false">IF(AU$19=2026,Inputs!$C$10,Inputs!$C$11)</f>
        <v>0.258</v>
      </c>
      <c r="AV25" s="8" t="n">
        <f aca="false">IF(AV$19=2026,Inputs!$C$10,Inputs!$C$11)</f>
        <v>0.258</v>
      </c>
    </row>
    <row r="26" customFormat="false" ht="15" hidden="false" customHeight="false" outlineLevel="0" collapsed="false">
      <c r="B26" s="7" t="s">
        <v>143</v>
      </c>
      <c r="D26" s="16" t="n">
        <f aca="false">-MAX(0,D24)*D25</f>
        <v>-661.6174218588</v>
      </c>
      <c r="E26" s="16" t="n">
        <f aca="false">-MAX(0,E24)*E25</f>
        <v>-500.810166756326</v>
      </c>
      <c r="F26" s="16" t="n">
        <f aca="false">-MAX(0,F24)*F25</f>
        <v>-511.327180258209</v>
      </c>
      <c r="G26" s="16" t="n">
        <f aca="false">-MAX(0,G24)*G25</f>
        <v>-522.065051043631</v>
      </c>
      <c r="H26" s="16" t="n">
        <f aca="false">-MAX(0,H24)*H25</f>
        <v>-533.028417115547</v>
      </c>
      <c r="I26" s="16" t="n">
        <f aca="false">-MAX(0,I24)*I25</f>
        <v>-544.222013874974</v>
      </c>
      <c r="J26" s="16" t="n">
        <f aca="false">-MAX(0,J24)*J25</f>
        <v>-555.650676166348</v>
      </c>
      <c r="K26" s="16" t="n">
        <f aca="false">-MAX(0,K24)*K25</f>
        <v>-567.319340365841</v>
      </c>
      <c r="L26" s="16" t="n">
        <f aca="false">-MAX(0,L24)*L25</f>
        <v>-579.233046513524</v>
      </c>
      <c r="M26" s="16" t="n">
        <f aca="false">-MAX(0,M24)*M25</f>
        <v>-591.396940490308</v>
      </c>
      <c r="N26" s="16" t="n">
        <f aca="false">-MAX(0,N24)*N25</f>
        <v>-603.816276240604</v>
      </c>
      <c r="O26" s="16" t="n">
        <f aca="false">-MAX(0,O24)*O25</f>
        <v>-616.496418041657</v>
      </c>
      <c r="P26" s="16" t="n">
        <f aca="false">-MAX(0,P24)*P25</f>
        <v>-629.442842820532</v>
      </c>
      <c r="Q26" s="16" t="n">
        <f aca="false">-MAX(0,Q24)*Q25</f>
        <v>-642.661142519763</v>
      </c>
      <c r="R26" s="16" t="n">
        <f aca="false">-MAX(0,R24)*R25</f>
        <v>-656.157026512678</v>
      </c>
      <c r="S26" s="16" t="n">
        <f aca="false">-MAX(0,S24)*S25</f>
        <v>-669.936324069444</v>
      </c>
      <c r="T26" s="16" t="n">
        <f aca="false">-MAX(0,T24)*T25</f>
        <v>-684.004986874902</v>
      </c>
      <c r="U26" s="16" t="n">
        <f aca="false">-MAX(0,U24)*U25</f>
        <v>-698.369091599275</v>
      </c>
      <c r="V26" s="16" t="n">
        <f aca="false">-MAX(0,V24)*V25</f>
        <v>-713.034842522859</v>
      </c>
      <c r="W26" s="16" t="n">
        <f aca="false">-MAX(0,W24)*W25</f>
        <v>-728.00857421584</v>
      </c>
      <c r="X26" s="16" t="n">
        <f aca="false">-MAX(0,X24)*X25</f>
        <v>-743.296754274372</v>
      </c>
      <c r="Y26" s="16" t="n">
        <f aca="false">-MAX(0,Y24)*Y25</f>
        <v>-758.905986114134</v>
      </c>
      <c r="Z26" s="16" t="n">
        <f aca="false">-MAX(0,Z24)*Z25</f>
        <v>-774.84301182253</v>
      </c>
      <c r="AA26" s="16" t="n">
        <f aca="false">-MAX(0,AA24)*AA25</f>
        <v>-791.114715070803</v>
      </c>
      <c r="AB26" s="16" t="n">
        <f aca="false">-MAX(0,AB24)*AB25</f>
        <v>-807.72812408729</v>
      </c>
      <c r="AC26" s="16" t="n">
        <f aca="false">-MAX(0,AC24)*AC25</f>
        <v>-824.690414693123</v>
      </c>
      <c r="AD26" s="16" t="n">
        <f aca="false">-MAX(0,AD24)*AD25</f>
        <v>-842.008913401679</v>
      </c>
      <c r="AE26" s="16" t="n">
        <f aca="false">-MAX(0,AE24)*AE25</f>
        <v>-859.691100583114</v>
      </c>
      <c r="AF26" s="16" t="n">
        <f aca="false">-MAX(0,AF24)*AF25</f>
        <v>-877.744613695359</v>
      </c>
      <c r="AG26" s="16" t="n">
        <f aca="false">-MAX(0,AG24)*AG25</f>
        <v>-896.177250582962</v>
      </c>
      <c r="AH26" s="16" t="n">
        <f aca="false">-MAX(0,AH24)*AH25</f>
        <v>-914.996972845204</v>
      </c>
      <c r="AI26" s="16" t="n">
        <f aca="false">-MAX(0,AI24)*AI25</f>
        <v>-934.211909274953</v>
      </c>
      <c r="AJ26" s="16" t="n">
        <f aca="false">-MAX(0,AJ24)*AJ25</f>
        <v>-953.830359369727</v>
      </c>
      <c r="AK26" s="16" t="n">
        <f aca="false">-MAX(0,AK24)*AK25</f>
        <v>-973.860796916491</v>
      </c>
      <c r="AL26" s="16" t="n">
        <f aca="false">-MAX(0,AL24)*AL25</f>
        <v>-994.311873651737</v>
      </c>
      <c r="AM26" s="16" t="n">
        <f aca="false">-MAX(0,AM24)*AM25</f>
        <v>-1015.19242299842</v>
      </c>
      <c r="AN26" s="16" t="n">
        <f aca="false">-MAX(0,AN24)*AN25</f>
        <v>-1036.51146388139</v>
      </c>
      <c r="AO26" s="16" t="n">
        <f aca="false">-MAX(0,AO24)*AO25</f>
        <v>-1058.2782046229</v>
      </c>
      <c r="AP26" s="16" t="n">
        <f aca="false">-MAX(0,AP24)*AP25</f>
        <v>-1080.50204691998</v>
      </c>
      <c r="AQ26" s="16" t="n">
        <f aca="false">-MAX(0,AQ24)*AQ25</f>
        <v>-1103.1925899053</v>
      </c>
      <c r="AR26" s="16" t="n">
        <f aca="false">-MAX(0,AR24)*AR25</f>
        <v>-1126.35963429331</v>
      </c>
      <c r="AS26" s="16" t="n">
        <f aca="false">-MAX(0,AS24)*AS25</f>
        <v>-1150.01318661347</v>
      </c>
      <c r="AT26" s="16" t="n">
        <f aca="false">-MAX(0,AT24)*AT25</f>
        <v>-1174.16346353235</v>
      </c>
      <c r="AU26" s="16" t="n">
        <f aca="false">-MAX(0,AU24)*AU25</f>
        <v>-1198.82089626653</v>
      </c>
      <c r="AV26" s="16" t="n">
        <f aca="false">-MAX(0,AV24)*AV25</f>
        <v>-1223.99613508813</v>
      </c>
    </row>
    <row r="27" customFormat="false" ht="15" hidden="false" customHeight="false" outlineLevel="0" collapsed="false">
      <c r="B27" s="7" t="s">
        <v>144</v>
      </c>
      <c r="D27" s="16" t="n">
        <f aca="false">-D21*$C$10</f>
        <v>-340.6006881</v>
      </c>
      <c r="E27" s="16" t="n">
        <f aca="false">-E21*$C$10</f>
        <v>-347.7533025501</v>
      </c>
      <c r="F27" s="16" t="n">
        <f aca="false">-F21*$C$10</f>
        <v>-355.056121903652</v>
      </c>
      <c r="G27" s="16" t="n">
        <f aca="false">-G21*$C$10</f>
        <v>-362.512300463629</v>
      </c>
      <c r="H27" s="16" t="n">
        <f aca="false">-H21*$C$10</f>
        <v>-370.125058773365</v>
      </c>
      <c r="I27" s="16" t="n">
        <f aca="false">-I21*$C$10</f>
        <v>-377.897685007606</v>
      </c>
      <c r="J27" s="16" t="n">
        <f aca="false">-J21*$C$10</f>
        <v>-385.833536392765</v>
      </c>
      <c r="K27" s="16" t="n">
        <f aca="false">-K21*$C$10</f>
        <v>-393.936040657013</v>
      </c>
      <c r="L27" s="16" t="n">
        <f aca="false">-L21*$C$10</f>
        <v>-402.20869751081</v>
      </c>
      <c r="M27" s="16" t="n">
        <f aca="false">-M21*$C$10</f>
        <v>-410.655080158537</v>
      </c>
      <c r="N27" s="16" t="n">
        <f aca="false">-N21*$C$10</f>
        <v>-419.278836841867</v>
      </c>
      <c r="O27" s="16" t="n">
        <f aca="false">-O21*$C$10</f>
        <v>-428.083692415546</v>
      </c>
      <c r="P27" s="16" t="n">
        <f aca="false">-P21*$C$10</f>
        <v>-437.073449956272</v>
      </c>
      <c r="Q27" s="16" t="n">
        <f aca="false">-Q21*$C$10</f>
        <v>-446.251992405354</v>
      </c>
      <c r="R27" s="16" t="n">
        <f aca="false">-R21*$C$10</f>
        <v>-455.623284245866</v>
      </c>
      <c r="S27" s="16" t="n">
        <f aca="false">-S21*$C$10</f>
        <v>-465.191373215029</v>
      </c>
      <c r="T27" s="16" t="n">
        <f aca="false">-T21*$C$10</f>
        <v>-474.960392052545</v>
      </c>
      <c r="U27" s="16" t="n">
        <f aca="false">-U21*$C$10</f>
        <v>-484.934560285648</v>
      </c>
      <c r="V27" s="16" t="n">
        <f aca="false">-V21*$C$10</f>
        <v>-495.118186051647</v>
      </c>
      <c r="W27" s="16" t="n">
        <f aca="false">-W21*$C$10</f>
        <v>-505.515667958732</v>
      </c>
      <c r="X27" s="16" t="n">
        <f aca="false">-X21*$C$10</f>
        <v>-516.131496985865</v>
      </c>
      <c r="Y27" s="16" t="n">
        <f aca="false">-Y21*$C$10</f>
        <v>-526.970258422568</v>
      </c>
      <c r="Z27" s="16" t="n">
        <f aca="false">-Z21*$C$10</f>
        <v>-538.036633849442</v>
      </c>
      <c r="AA27" s="16" t="n">
        <f aca="false">-AA21*$C$10</f>
        <v>-549.33540316028</v>
      </c>
      <c r="AB27" s="16" t="n">
        <f aca="false">-AB21*$C$10</f>
        <v>-560.871446626646</v>
      </c>
      <c r="AC27" s="16" t="n">
        <f aca="false">-AC21*$C$10</f>
        <v>-572.649747005805</v>
      </c>
      <c r="AD27" s="16" t="n">
        <f aca="false">-AD21*$C$10</f>
        <v>-584.675391692927</v>
      </c>
      <c r="AE27" s="16" t="n">
        <f aca="false">-AE21*$C$10</f>
        <v>-596.953574918479</v>
      </c>
      <c r="AF27" s="16" t="n">
        <f aca="false">-AF21*$C$10</f>
        <v>-609.489599991767</v>
      </c>
      <c r="AG27" s="16" t="n">
        <f aca="false">-AG21*$C$10</f>
        <v>-622.288881591594</v>
      </c>
      <c r="AH27" s="16" t="n">
        <f aca="false">-AH21*$C$10</f>
        <v>-635.356948105017</v>
      </c>
      <c r="AI27" s="16" t="n">
        <f aca="false">-AI21*$C$10</f>
        <v>-648.699444015222</v>
      </c>
      <c r="AJ27" s="16" t="n">
        <f aca="false">-AJ21*$C$10</f>
        <v>-662.322132339542</v>
      </c>
      <c r="AK27" s="16" t="n">
        <f aca="false">-AK21*$C$10</f>
        <v>-676.230897118672</v>
      </c>
      <c r="AL27" s="16" t="n">
        <f aca="false">-AL21*$C$10</f>
        <v>-690.431745958164</v>
      </c>
      <c r="AM27" s="16" t="n">
        <f aca="false">-AM21*$C$10</f>
        <v>-704.930812623286</v>
      </c>
      <c r="AN27" s="16" t="n">
        <f aca="false">-AN21*$C$10</f>
        <v>-719.734359688375</v>
      </c>
      <c r="AO27" s="16" t="n">
        <f aca="false">-AO21*$C$10</f>
        <v>-734.848781241831</v>
      </c>
      <c r="AP27" s="16" t="n">
        <f aca="false">-AP21*$C$10</f>
        <v>-750.280605647909</v>
      </c>
      <c r="AQ27" s="16" t="n">
        <f aca="false">-AQ21*$C$10</f>
        <v>-766.036498366515</v>
      </c>
      <c r="AR27" s="16" t="n">
        <f aca="false">-AR21*$C$10</f>
        <v>-782.123264832212</v>
      </c>
      <c r="AS27" s="16" t="n">
        <f aca="false">-AS21*$C$10</f>
        <v>-798.547853393688</v>
      </c>
      <c r="AT27" s="16" t="n">
        <f aca="false">-AT21*$C$10</f>
        <v>-815.317358314955</v>
      </c>
      <c r="AU27" s="16" t="n">
        <f aca="false">-AU21*$C$10</f>
        <v>-832.439022839569</v>
      </c>
      <c r="AV27" s="16" t="n">
        <f aca="false">-AV21*$C$10</f>
        <v>-849.9202423192</v>
      </c>
    </row>
    <row r="28" customFormat="false" ht="15" hidden="false" customHeight="false" outlineLevel="0" collapsed="false">
      <c r="B28" s="7" t="s">
        <v>145</v>
      </c>
      <c r="D28" s="16" t="n">
        <f aca="false">-D21*$C$11</f>
        <v>-7.0226946</v>
      </c>
      <c r="E28" s="16" t="n">
        <f aca="false">-E21*$C$11</f>
        <v>-7.1701711866</v>
      </c>
      <c r="F28" s="16" t="n">
        <f aca="false">-F21*$C$11</f>
        <v>-7.3207447815186</v>
      </c>
      <c r="G28" s="16" t="n">
        <f aca="false">-G21*$C$11</f>
        <v>-7.47448042193049</v>
      </c>
      <c r="H28" s="16" t="n">
        <f aca="false">-H21*$C$11</f>
        <v>-7.63144451079103</v>
      </c>
      <c r="I28" s="16" t="n">
        <f aca="false">-I21*$C$11</f>
        <v>-7.79170484551764</v>
      </c>
      <c r="J28" s="16" t="n">
        <f aca="false">-J21*$C$11</f>
        <v>-7.95533064727351</v>
      </c>
      <c r="K28" s="16" t="n">
        <f aca="false">-K21*$C$11</f>
        <v>-8.12239259086625</v>
      </c>
      <c r="L28" s="16" t="n">
        <f aca="false">-L21*$C$11</f>
        <v>-8.29296283527444</v>
      </c>
      <c r="M28" s="16" t="n">
        <f aca="false">-M21*$C$11</f>
        <v>-8.4671150548152</v>
      </c>
      <c r="N28" s="16" t="n">
        <f aca="false">-N21*$C$11</f>
        <v>-8.64492447096632</v>
      </c>
      <c r="O28" s="16" t="n">
        <f aca="false">-O21*$C$11</f>
        <v>-8.82646788485661</v>
      </c>
      <c r="P28" s="16" t="n">
        <f aca="false">-P21*$C$11</f>
        <v>-9.0118237104386</v>
      </c>
      <c r="Q28" s="16" t="n">
        <f aca="false">-Q21*$C$11</f>
        <v>-9.20107200835781</v>
      </c>
      <c r="R28" s="16" t="n">
        <f aca="false">-R21*$C$11</f>
        <v>-9.39429452053332</v>
      </c>
      <c r="S28" s="16" t="n">
        <f aca="false">-S21*$C$11</f>
        <v>-9.59157470546452</v>
      </c>
      <c r="T28" s="16" t="n">
        <f aca="false">-T21*$C$11</f>
        <v>-9.79299777427928</v>
      </c>
      <c r="U28" s="16" t="n">
        <f aca="false">-U21*$C$11</f>
        <v>-9.99865072753914</v>
      </c>
      <c r="V28" s="16" t="n">
        <f aca="false">-V21*$C$11</f>
        <v>-10.2086223928175</v>
      </c>
      <c r="W28" s="16" t="n">
        <f aca="false">-W21*$C$11</f>
        <v>-10.4230034630666</v>
      </c>
      <c r="X28" s="16" t="n">
        <f aca="false">-X21*$C$11</f>
        <v>-10.641886535791</v>
      </c>
      <c r="Y28" s="16" t="n">
        <f aca="false">-Y21*$C$11</f>
        <v>-10.8653661530426</v>
      </c>
      <c r="Z28" s="16" t="n">
        <f aca="false">-Z21*$C$11</f>
        <v>-11.0935388422565</v>
      </c>
      <c r="AA28" s="16" t="n">
        <f aca="false">-AA21*$C$11</f>
        <v>-11.3265031579439</v>
      </c>
      <c r="AB28" s="16" t="n">
        <f aca="false">-AB21*$C$11</f>
        <v>-11.5643597242607</v>
      </c>
      <c r="AC28" s="16" t="n">
        <f aca="false">-AC21*$C$11</f>
        <v>-11.8072112784702</v>
      </c>
      <c r="AD28" s="16" t="n">
        <f aca="false">-AD21*$C$11</f>
        <v>-12.0551627153181</v>
      </c>
      <c r="AE28" s="16" t="n">
        <f aca="false">-AE21*$C$11</f>
        <v>-12.3083211323398</v>
      </c>
      <c r="AF28" s="16" t="n">
        <f aca="false">-AF21*$C$11</f>
        <v>-12.5667958761189</v>
      </c>
      <c r="AG28" s="16" t="n">
        <f aca="false">-AG21*$C$11</f>
        <v>-12.8306985895174</v>
      </c>
      <c r="AH28" s="16" t="n">
        <f aca="false">-AH21*$C$11</f>
        <v>-13.1001432598973</v>
      </c>
      <c r="AI28" s="16" t="n">
        <f aca="false">-AI21*$C$11</f>
        <v>-13.3752462683551</v>
      </c>
      <c r="AJ28" s="16" t="n">
        <f aca="false">-AJ21*$C$11</f>
        <v>-13.6561264399906</v>
      </c>
      <c r="AK28" s="16" t="n">
        <f aca="false">-AK21*$C$11</f>
        <v>-13.9429050952304</v>
      </c>
      <c r="AL28" s="16" t="n">
        <f aca="false">-AL21*$C$11</f>
        <v>-14.2357061022302</v>
      </c>
      <c r="AM28" s="16" t="n">
        <f aca="false">-AM21*$C$11</f>
        <v>-14.534655930377</v>
      </c>
      <c r="AN28" s="16" t="n">
        <f aca="false">-AN21*$C$11</f>
        <v>-14.8398837049149</v>
      </c>
      <c r="AO28" s="16" t="n">
        <f aca="false">-AO21*$C$11</f>
        <v>-15.1515212627182</v>
      </c>
      <c r="AP28" s="16" t="n">
        <f aca="false">-AP21*$C$11</f>
        <v>-15.4697032092352</v>
      </c>
      <c r="AQ28" s="16" t="n">
        <f aca="false">-AQ21*$C$11</f>
        <v>-15.7945669766292</v>
      </c>
      <c r="AR28" s="16" t="n">
        <f aca="false">-AR21*$C$11</f>
        <v>-16.1262528831384</v>
      </c>
      <c r="AS28" s="16" t="n">
        <f aca="false">-AS21*$C$11</f>
        <v>-16.4649041936843</v>
      </c>
      <c r="AT28" s="16" t="n">
        <f aca="false">-AT21*$C$11</f>
        <v>-16.8106671817517</v>
      </c>
      <c r="AU28" s="16" t="n">
        <f aca="false">-AU21*$C$11</f>
        <v>-17.1636911925684</v>
      </c>
      <c r="AV28" s="16" t="n">
        <f aca="false">-AV21*$C$11</f>
        <v>-17.5241287076124</v>
      </c>
    </row>
    <row r="29" customFormat="false" ht="15" hidden="false" customHeight="false" outlineLevel="0" collapsed="false">
      <c r="B29" s="12" t="s">
        <v>146</v>
      </c>
      <c r="D29" s="38" t="n">
        <f aca="false">(D22+D26+D27+D28)*D20</f>
        <v>888.630678808715</v>
      </c>
      <c r="E29" s="38" t="n">
        <f aca="false">(E22+E26+E27+E28)*E20</f>
        <v>1974.49226399547</v>
      </c>
      <c r="F29" s="38" t="n">
        <f aca="false">(F22+F26+F27+F28)*F20</f>
        <v>2021.47977031072</v>
      </c>
      <c r="G29" s="38" t="n">
        <f aca="false">(G22+G26+G27+G28)*G20</f>
        <v>2058.29169017171</v>
      </c>
      <c r="H29" s="38" t="n">
        <f aca="false">(H22+H26+H27+H28)*H20</f>
        <v>2101.51581566531</v>
      </c>
      <c r="I29" s="38" t="n">
        <f aca="false">(I22+I26+I27+I28)*I20</f>
        <v>2145.64764779428</v>
      </c>
      <c r="J29" s="38" t="n">
        <f aca="false">(J22+J26+J27+J28)*J20</f>
        <v>2196.70818332508</v>
      </c>
      <c r="K29" s="38" t="n">
        <f aca="false">(K22+K26+K27+K28)*K20</f>
        <v>2236.71107961432</v>
      </c>
      <c r="L29" s="38" t="n">
        <f aca="false">(L22+L26+L27+L28)*L20</f>
        <v>2283.68201228622</v>
      </c>
      <c r="M29" s="38" t="n">
        <f aca="false">(M22+M26+M27+M28)*M20</f>
        <v>2331.63933454423</v>
      </c>
      <c r="N29" s="38" t="n">
        <f aca="false">(N22+N26+N27+N28)*N20</f>
        <v>2387.12596265341</v>
      </c>
      <c r="O29" s="38" t="n">
        <f aca="false">(O22+O26+O27+O28)*O20</f>
        <v>0</v>
      </c>
      <c r="P29" s="38" t="n">
        <f aca="false">(P22+P26+P27+P28)*P20</f>
        <v>0</v>
      </c>
      <c r="Q29" s="38" t="n">
        <f aca="false">(Q22+Q26+Q27+Q28)*Q20</f>
        <v>0</v>
      </c>
      <c r="R29" s="38" t="n">
        <f aca="false">(R22+R26+R27+R28)*R20</f>
        <v>0</v>
      </c>
      <c r="S29" s="38" t="n">
        <f aca="false">(S22+S26+S27+S28)*S20</f>
        <v>0</v>
      </c>
      <c r="T29" s="38" t="n">
        <f aca="false">(T22+T26+T27+T28)*T20</f>
        <v>0</v>
      </c>
      <c r="U29" s="38" t="n">
        <f aca="false">(U22+U26+U27+U28)*U20</f>
        <v>0</v>
      </c>
      <c r="V29" s="38" t="n">
        <f aca="false">(V22+V26+V27+V28)*V20</f>
        <v>0</v>
      </c>
      <c r="W29" s="38" t="n">
        <f aca="false">(W22+W26+W27+W28)*W20</f>
        <v>0</v>
      </c>
      <c r="X29" s="38" t="n">
        <f aca="false">(X22+X26+X27+X28)*X20</f>
        <v>0</v>
      </c>
      <c r="Y29" s="38" t="n">
        <f aca="false">(Y22+Y26+Y27+Y28)*Y20</f>
        <v>0</v>
      </c>
      <c r="Z29" s="38" t="n">
        <f aca="false">(Z22+Z26+Z27+Z28)*Z20</f>
        <v>0</v>
      </c>
      <c r="AA29" s="38" t="n">
        <f aca="false">(AA22+AA26+AA27+AA28)*AA20</f>
        <v>0</v>
      </c>
      <c r="AB29" s="38" t="n">
        <f aca="false">(AB22+AB26+AB27+AB28)*AB20</f>
        <v>0</v>
      </c>
      <c r="AC29" s="38" t="n">
        <f aca="false">(AC22+AC26+AC27+AC28)*AC20</f>
        <v>0</v>
      </c>
      <c r="AD29" s="38" t="n">
        <f aca="false">(AD22+AD26+AD27+AD28)*AD20</f>
        <v>0</v>
      </c>
      <c r="AE29" s="38" t="n">
        <f aca="false">(AE22+AE26+AE27+AE28)*AE20</f>
        <v>0</v>
      </c>
      <c r="AF29" s="38" t="n">
        <f aca="false">(AF22+AF26+AF27+AF28)*AF20</f>
        <v>0</v>
      </c>
      <c r="AG29" s="38" t="n">
        <f aca="false">(AG22+AG26+AG27+AG28)*AG20</f>
        <v>0</v>
      </c>
      <c r="AH29" s="38" t="n">
        <f aca="false">(AH22+AH26+AH27+AH28)*AH20</f>
        <v>0</v>
      </c>
      <c r="AI29" s="38" t="n">
        <f aca="false">(AI22+AI26+AI27+AI28)*AI20</f>
        <v>0</v>
      </c>
      <c r="AJ29" s="38" t="n">
        <f aca="false">(AJ22+AJ26+AJ27+AJ28)*AJ20</f>
        <v>0</v>
      </c>
      <c r="AK29" s="38" t="n">
        <f aca="false">(AK22+AK26+AK27+AK28)*AK20</f>
        <v>0</v>
      </c>
      <c r="AL29" s="38" t="n">
        <f aca="false">(AL22+AL26+AL27+AL28)*AL20</f>
        <v>0</v>
      </c>
      <c r="AM29" s="38" t="n">
        <f aca="false">(AM22+AM26+AM27+AM28)*AM20</f>
        <v>0</v>
      </c>
      <c r="AN29" s="38" t="n">
        <f aca="false">(AN22+AN26+AN27+AN28)*AN20</f>
        <v>0</v>
      </c>
      <c r="AO29" s="38" t="n">
        <f aca="false">(AO22+AO26+AO27+AO28)*AO20</f>
        <v>0</v>
      </c>
      <c r="AP29" s="38" t="n">
        <f aca="false">(AP22+AP26+AP27+AP28)*AP20</f>
        <v>0</v>
      </c>
      <c r="AQ29" s="38" t="n">
        <f aca="false">(AQ22+AQ26+AQ27+AQ28)*AQ20</f>
        <v>0</v>
      </c>
      <c r="AR29" s="38" t="n">
        <f aca="false">(AR22+AR26+AR27+AR28)*AR20</f>
        <v>0</v>
      </c>
      <c r="AS29" s="38" t="n">
        <f aca="false">(AS22+AS26+AS27+AS28)*AS20</f>
        <v>0</v>
      </c>
      <c r="AT29" s="38" t="n">
        <f aca="false">(AT22+AT26+AT27+AT28)*AT20</f>
        <v>0</v>
      </c>
      <c r="AU29" s="38" t="n">
        <f aca="false">(AU22+AU26+AU27+AU28)*AU20</f>
        <v>0</v>
      </c>
      <c r="AV29" s="38" t="n">
        <f aca="false">(AV22+AV26+AV27+AV28)*AV20</f>
        <v>0</v>
      </c>
    </row>
    <row r="30" customFormat="false" ht="15" hidden="false" customHeight="false" outlineLevel="0" collapsed="false">
      <c r="B30" s="7" t="s">
        <v>147</v>
      </c>
      <c r="D30" s="37" t="n">
        <f aca="false">((MAX(Inputs!$C$5+1,DATE(D$19,1,1))+DATE(D$19,12,31))/2-Inputs!$C$5)/365</f>
        <v>0.253424657534247</v>
      </c>
      <c r="E30" s="37" t="n">
        <f aca="false">((MAX(Inputs!$C$5+1,DATE(E$19,1,1))+DATE(E$19,12,31))/2-Inputs!$C$5)/365</f>
        <v>1.00547945205479</v>
      </c>
      <c r="F30" s="37" t="n">
        <f aca="false">((MAX(Inputs!$C$5+1,DATE(F$19,1,1))+DATE(F$19,12,31))/2-Inputs!$C$5)/365</f>
        <v>2.00684931506849</v>
      </c>
      <c r="G30" s="37" t="n">
        <f aca="false">((MAX(Inputs!$C$5+1,DATE(G$19,1,1))+DATE(G$19,12,31))/2-Inputs!$C$5)/365</f>
        <v>3.00821917808219</v>
      </c>
      <c r="H30" s="37" t="n">
        <f aca="false">((MAX(Inputs!$C$5+1,DATE(H$19,1,1))+DATE(H$19,12,31))/2-Inputs!$C$5)/365</f>
        <v>4.00821917808219</v>
      </c>
      <c r="I30" s="37" t="n">
        <f aca="false">((MAX(Inputs!$C$5+1,DATE(I$19,1,1))+DATE(I$19,12,31))/2-Inputs!$C$5)/365</f>
        <v>5.00821917808219</v>
      </c>
      <c r="J30" s="37" t="n">
        <f aca="false">((MAX(Inputs!$C$5+1,DATE(J$19,1,1))+DATE(J$19,12,31))/2-Inputs!$C$5)/365</f>
        <v>6.00958904109589</v>
      </c>
      <c r="K30" s="37" t="n">
        <f aca="false">((MAX(Inputs!$C$5+1,DATE(K$19,1,1))+DATE(K$19,12,31))/2-Inputs!$C$5)/365</f>
        <v>7.01095890410959</v>
      </c>
      <c r="L30" s="37" t="n">
        <f aca="false">((MAX(Inputs!$C$5+1,DATE(L$19,1,1))+DATE(L$19,12,31))/2-Inputs!$C$5)/365</f>
        <v>8.01095890410959</v>
      </c>
      <c r="M30" s="37" t="n">
        <f aca="false">((MAX(Inputs!$C$5+1,DATE(M$19,1,1))+DATE(M$19,12,31))/2-Inputs!$C$5)/365</f>
        <v>9.01095890410959</v>
      </c>
      <c r="N30" s="37" t="n">
        <f aca="false">((MAX(Inputs!$C$5+1,DATE(N$19,1,1))+DATE(N$19,12,31))/2-Inputs!$C$5)/365</f>
        <v>10.0123287671233</v>
      </c>
      <c r="O30" s="37" t="n">
        <f aca="false">((MAX(Inputs!$C$5+1,DATE(O$19,1,1))+DATE(O$19,12,31))/2-Inputs!$C$5)/365</f>
        <v>11.013698630137</v>
      </c>
      <c r="P30" s="37" t="n">
        <f aca="false">((MAX(Inputs!$C$5+1,DATE(P$19,1,1))+DATE(P$19,12,31))/2-Inputs!$C$5)/365</f>
        <v>12.013698630137</v>
      </c>
      <c r="Q30" s="37" t="n">
        <f aca="false">((MAX(Inputs!$C$5+1,DATE(Q$19,1,1))+DATE(Q$19,12,31))/2-Inputs!$C$5)/365</f>
        <v>13.013698630137</v>
      </c>
      <c r="R30" s="37" t="n">
        <f aca="false">((MAX(Inputs!$C$5+1,DATE(R$19,1,1))+DATE(R$19,12,31))/2-Inputs!$C$5)/365</f>
        <v>14.0150684931507</v>
      </c>
      <c r="S30" s="37" t="n">
        <f aca="false">((MAX(Inputs!$C$5+1,DATE(S$19,1,1))+DATE(S$19,12,31))/2-Inputs!$C$5)/365</f>
        <v>15.0164383561644</v>
      </c>
      <c r="T30" s="37" t="n">
        <f aca="false">((MAX(Inputs!$C$5+1,DATE(T$19,1,1))+DATE(T$19,12,31))/2-Inputs!$C$5)/365</f>
        <v>16.0164383561644</v>
      </c>
      <c r="U30" s="37" t="n">
        <f aca="false">((MAX(Inputs!$C$5+1,DATE(U$19,1,1))+DATE(U$19,12,31))/2-Inputs!$C$5)/365</f>
        <v>17.0164383561644</v>
      </c>
      <c r="V30" s="37" t="n">
        <f aca="false">((MAX(Inputs!$C$5+1,DATE(V$19,1,1))+DATE(V$19,12,31))/2-Inputs!$C$5)/365</f>
        <v>18.0178082191781</v>
      </c>
      <c r="W30" s="37" t="n">
        <f aca="false">((MAX(Inputs!$C$5+1,DATE(W$19,1,1))+DATE(W$19,12,31))/2-Inputs!$C$5)/365</f>
        <v>19.0191780821918</v>
      </c>
      <c r="X30" s="37" t="n">
        <f aca="false">((MAX(Inputs!$C$5+1,DATE(X$19,1,1))+DATE(X$19,12,31))/2-Inputs!$C$5)/365</f>
        <v>20.0191780821918</v>
      </c>
      <c r="Y30" s="37" t="n">
        <f aca="false">((MAX(Inputs!$C$5+1,DATE(Y$19,1,1))+DATE(Y$19,12,31))/2-Inputs!$C$5)/365</f>
        <v>21.0191780821918</v>
      </c>
      <c r="Z30" s="37" t="n">
        <f aca="false">((MAX(Inputs!$C$5+1,DATE(Z$19,1,1))+DATE(Z$19,12,31))/2-Inputs!$C$5)/365</f>
        <v>22.0205479452055</v>
      </c>
      <c r="AA30" s="37" t="n">
        <f aca="false">((MAX(Inputs!$C$5+1,DATE(AA$19,1,1))+DATE(AA$19,12,31))/2-Inputs!$C$5)/365</f>
        <v>23.0219178082192</v>
      </c>
      <c r="AB30" s="37" t="n">
        <f aca="false">((MAX(Inputs!$C$5+1,DATE(AB$19,1,1))+DATE(AB$19,12,31))/2-Inputs!$C$5)/365</f>
        <v>24.0219178082192</v>
      </c>
      <c r="AC30" s="37" t="n">
        <f aca="false">((MAX(Inputs!$C$5+1,DATE(AC$19,1,1))+DATE(AC$19,12,31))/2-Inputs!$C$5)/365</f>
        <v>25.0219178082192</v>
      </c>
      <c r="AD30" s="37" t="n">
        <f aca="false">((MAX(Inputs!$C$5+1,DATE(AD$19,1,1))+DATE(AD$19,12,31))/2-Inputs!$C$5)/365</f>
        <v>26.0232876712329</v>
      </c>
      <c r="AE30" s="37" t="n">
        <f aca="false">((MAX(Inputs!$C$5+1,DATE(AE$19,1,1))+DATE(AE$19,12,31))/2-Inputs!$C$5)/365</f>
        <v>27.0246575342466</v>
      </c>
      <c r="AF30" s="37" t="n">
        <f aca="false">((MAX(Inputs!$C$5+1,DATE(AF$19,1,1))+DATE(AF$19,12,31))/2-Inputs!$C$5)/365</f>
        <v>28.0246575342466</v>
      </c>
      <c r="AG30" s="37" t="n">
        <f aca="false">((MAX(Inputs!$C$5+1,DATE(AG$19,1,1))+DATE(AG$19,12,31))/2-Inputs!$C$5)/365</f>
        <v>29.0246575342466</v>
      </c>
      <c r="AH30" s="37" t="n">
        <f aca="false">((MAX(Inputs!$C$5+1,DATE(AH$19,1,1))+DATE(AH$19,12,31))/2-Inputs!$C$5)/365</f>
        <v>30.0260273972603</v>
      </c>
      <c r="AI30" s="37" t="n">
        <f aca="false">((MAX(Inputs!$C$5+1,DATE(AI$19,1,1))+DATE(AI$19,12,31))/2-Inputs!$C$5)/365</f>
        <v>31.027397260274</v>
      </c>
      <c r="AJ30" s="37" t="n">
        <f aca="false">((MAX(Inputs!$C$5+1,DATE(AJ$19,1,1))+DATE(AJ$19,12,31))/2-Inputs!$C$5)/365</f>
        <v>32.027397260274</v>
      </c>
      <c r="AK30" s="37" t="n">
        <f aca="false">((MAX(Inputs!$C$5+1,DATE(AK$19,1,1))+DATE(AK$19,12,31))/2-Inputs!$C$5)/365</f>
        <v>33.027397260274</v>
      </c>
      <c r="AL30" s="37" t="n">
        <f aca="false">((MAX(Inputs!$C$5+1,DATE(AL$19,1,1))+DATE(AL$19,12,31))/2-Inputs!$C$5)/365</f>
        <v>34.0287671232877</v>
      </c>
      <c r="AM30" s="37" t="n">
        <f aca="false">((MAX(Inputs!$C$5+1,DATE(AM$19,1,1))+DATE(AM$19,12,31))/2-Inputs!$C$5)/365</f>
        <v>35.0301369863014</v>
      </c>
      <c r="AN30" s="37" t="n">
        <f aca="false">((MAX(Inputs!$C$5+1,DATE(AN$19,1,1))+DATE(AN$19,12,31))/2-Inputs!$C$5)/365</f>
        <v>36.0301369863014</v>
      </c>
      <c r="AO30" s="37" t="n">
        <f aca="false">((MAX(Inputs!$C$5+1,DATE(AO$19,1,1))+DATE(AO$19,12,31))/2-Inputs!$C$5)/365</f>
        <v>37.0301369863014</v>
      </c>
      <c r="AP30" s="37" t="n">
        <f aca="false">((MAX(Inputs!$C$5+1,DATE(AP$19,1,1))+DATE(AP$19,12,31))/2-Inputs!$C$5)/365</f>
        <v>38.0315068493151</v>
      </c>
      <c r="AQ30" s="37" t="n">
        <f aca="false">((MAX(Inputs!$C$5+1,DATE(AQ$19,1,1))+DATE(AQ$19,12,31))/2-Inputs!$C$5)/365</f>
        <v>39.0328767123288</v>
      </c>
      <c r="AR30" s="37" t="n">
        <f aca="false">((MAX(Inputs!$C$5+1,DATE(AR$19,1,1))+DATE(AR$19,12,31))/2-Inputs!$C$5)/365</f>
        <v>40.0328767123288</v>
      </c>
      <c r="AS30" s="37" t="n">
        <f aca="false">((MAX(Inputs!$C$5+1,DATE(AS$19,1,1))+DATE(AS$19,12,31))/2-Inputs!$C$5)/365</f>
        <v>41.0328767123288</v>
      </c>
      <c r="AT30" s="37" t="n">
        <f aca="false">((MAX(Inputs!$C$5+1,DATE(AT$19,1,1))+DATE(AT$19,12,31))/2-Inputs!$C$5)/365</f>
        <v>42.0342465753425</v>
      </c>
      <c r="AU30" s="37" t="n">
        <f aca="false">((MAX(Inputs!$C$5+1,DATE(AU$19,1,1))+DATE(AU$19,12,31))/2-Inputs!$C$5)/365</f>
        <v>43.0356164383562</v>
      </c>
      <c r="AV30" s="37" t="n">
        <f aca="false">((MAX(Inputs!$C$5+1,DATE(AV$19,1,1))+DATE(AV$19,12,31))/2-Inputs!$C$5)/365</f>
        <v>44.0356164383562</v>
      </c>
    </row>
    <row r="31" customFormat="false" ht="15" hidden="false" customHeight="false" outlineLevel="0" collapsed="false">
      <c r="B31" s="7" t="s">
        <v>148</v>
      </c>
      <c r="D31" s="39" t="n">
        <f aca="false">1/(1+$C$12)^D30</f>
        <v>0.984167309000933</v>
      </c>
      <c r="E31" s="39" t="n">
        <f aca="false">1/(1+$C$12)^E30</f>
        <v>0.938643185104451</v>
      </c>
      <c r="F31" s="39" t="n">
        <f aca="false">1/(1+$C$12)^F30</f>
        <v>0.881279074936991</v>
      </c>
      <c r="G31" s="39" t="n">
        <f aca="false">1/(1+$C$12)^G30</f>
        <v>0.827420707087299</v>
      </c>
      <c r="H31" s="39" t="n">
        <f aca="false">1/(1+$C$12)^H30</f>
        <v>0.776920851725163</v>
      </c>
      <c r="I31" s="39" t="n">
        <f aca="false">1/(1+$C$12)^I30</f>
        <v>0.729503147159778</v>
      </c>
      <c r="J31" s="39" t="n">
        <f aca="false">1/(1+$C$12)^J30</f>
        <v>0.684920392429049</v>
      </c>
      <c r="K31" s="39" t="n">
        <f aca="false">1/(1+$C$12)^K30</f>
        <v>0.643062262022586</v>
      </c>
      <c r="L31" s="39" t="n">
        <f aca="false">1/(1+$C$12)^L30</f>
        <v>0.603814330537639</v>
      </c>
      <c r="M31" s="39" t="n">
        <f aca="false">1/(1+$C$12)^M30</f>
        <v>0.566961812711398</v>
      </c>
      <c r="N31" s="39" t="n">
        <f aca="false">1/(1+$C$12)^N30</f>
        <v>0.532312586678292</v>
      </c>
      <c r="O31" s="39" t="n">
        <f aca="false">1/(1+$C$12)^O30</f>
        <v>0.499780908666544</v>
      </c>
      <c r="P31" s="39" t="n">
        <f aca="false">1/(1+$C$12)^P30</f>
        <v>0.469277848513187</v>
      </c>
      <c r="Q31" s="39" t="n">
        <f aca="false">1/(1+$C$12)^Q30</f>
        <v>0.440636477477171</v>
      </c>
      <c r="R31" s="39" t="n">
        <f aca="false">1/(1+$C$12)^R30</f>
        <v>0.413707480560213</v>
      </c>
      <c r="S31" s="39" t="n">
        <f aca="false">1/(1+$C$12)^S30</f>
        <v>0.388424218647096</v>
      </c>
      <c r="T31" s="39" t="n">
        <f aca="false">1/(1+$C$12)^T30</f>
        <v>0.364717576194456</v>
      </c>
      <c r="U31" s="39" t="n">
        <f aca="false">1/(1+$C$12)^U30</f>
        <v>0.342457818022963</v>
      </c>
      <c r="V31" s="39" t="n">
        <f aca="false">1/(1+$C$12)^V30</f>
        <v>0.321528898160203</v>
      </c>
      <c r="W31" s="39" t="n">
        <f aca="false">1/(1+$C$12)^W30</f>
        <v>0.301879025419656</v>
      </c>
      <c r="X31" s="39" t="n">
        <f aca="false">1/(1+$C$12)^X30</f>
        <v>0.283454483962119</v>
      </c>
      <c r="Y31" s="39" t="n">
        <f aca="false">1/(1+$C$12)^Y30</f>
        <v>0.266154445034853</v>
      </c>
      <c r="Z31" s="39" t="n">
        <f aca="false">1/(1+$C$12)^Z30</f>
        <v>0.249888718985993</v>
      </c>
      <c r="AA31" s="39" t="n">
        <f aca="false">1/(1+$C$12)^AA30</f>
        <v>0.234617054275699</v>
      </c>
      <c r="AB31" s="39" t="n">
        <f aca="false">1/(1+$C$12)^AB30</f>
        <v>0.220297703545257</v>
      </c>
      <c r="AC31" s="39" t="n">
        <f aca="false">1/(1+$C$12)^AC30</f>
        <v>0.206852303798364</v>
      </c>
      <c r="AD31" s="39" t="n">
        <f aca="false">1/(1+$C$12)^AD30</f>
        <v>0.194210760630752</v>
      </c>
      <c r="AE31" s="39" t="n">
        <f aca="false">1/(1+$C$12)^AE30</f>
        <v>0.182341790988908</v>
      </c>
      <c r="AF31" s="39" t="n">
        <f aca="false">1/(1+$C$12)^AF30</f>
        <v>0.17121294928536</v>
      </c>
      <c r="AG31" s="39" t="n">
        <f aca="false">1/(1+$C$12)^AG30</f>
        <v>0.16076333266231</v>
      </c>
      <c r="AH31" s="39" t="n">
        <f aca="false">1/(1+$C$12)^AH30</f>
        <v>0.150938464520639</v>
      </c>
      <c r="AI31" s="39" t="n">
        <f aca="false">1/(1+$C$12)^AI30</f>
        <v>0.141714032015645</v>
      </c>
      <c r="AJ31" s="39" t="n">
        <f aca="false">1/(1+$C$12)^AJ30</f>
        <v>0.133064818794032</v>
      </c>
      <c r="AK31" s="39" t="n">
        <f aca="false">1/(1+$C$12)^AK30</f>
        <v>0.124943491825383</v>
      </c>
      <c r="AL31" s="39" t="n">
        <f aca="false">1/(1+$C$12)^AL30</f>
        <v>0.117307712496754</v>
      </c>
      <c r="AM31" s="39" t="n">
        <f aca="false">1/(1+$C$12)^AM30</f>
        <v>0.110138585132976</v>
      </c>
      <c r="AN31" s="39" t="n">
        <f aca="false">1/(1+$C$12)^AN30</f>
        <v>0.103416511861949</v>
      </c>
      <c r="AO31" s="39" t="n">
        <f aca="false">1/(1+$C$12)^AO30</f>
        <v>0.0971047059736612</v>
      </c>
      <c r="AP31" s="39" t="n">
        <f aca="false">1/(1+$C$12)^AP30</f>
        <v>0.0911702623643657</v>
      </c>
      <c r="AQ31" s="39" t="n">
        <f aca="false">1/(1+$C$12)^AQ30</f>
        <v>0.0855984955233976</v>
      </c>
      <c r="AR31" s="39" t="n">
        <f aca="false">1/(1+$C$12)^AR30</f>
        <v>0.0803741742003733</v>
      </c>
      <c r="AS31" s="39" t="n">
        <f aca="false">1/(1+$C$12)^AS30</f>
        <v>0.0754687081693646</v>
      </c>
      <c r="AT31" s="39" t="n">
        <f aca="false">1/(1+$C$12)^AT30</f>
        <v>0.0708565239460897</v>
      </c>
      <c r="AU31" s="39" t="n">
        <f aca="false">1/(1+$C$12)^AU30</f>
        <v>0.0665262081133758</v>
      </c>
      <c r="AV31" s="39" t="n">
        <f aca="false">1/(1+$C$12)^AV30</f>
        <v>0.062465923111151</v>
      </c>
    </row>
    <row r="32" customFormat="false" ht="15" hidden="false" customHeight="false" outlineLevel="0" collapsed="false">
      <c r="B32" s="12" t="s">
        <v>149</v>
      </c>
      <c r="D32" s="40" t="n">
        <f aca="false">D29*D31</f>
        <v>874.561263858846</v>
      </c>
      <c r="E32" s="40" t="n">
        <f aca="false">E29*E31</f>
        <v>1853.34370764081</v>
      </c>
      <c r="F32" s="40" t="n">
        <f aca="false">F29*F31</f>
        <v>1781.48782198327</v>
      </c>
      <c r="G32" s="40" t="n">
        <f aca="false">G29*G31</f>
        <v>1703.07316567378</v>
      </c>
      <c r="H32" s="40" t="n">
        <f aca="false">H29*H31</f>
        <v>1632.71145742059</v>
      </c>
      <c r="I32" s="40" t="n">
        <f aca="false">I29*I31</f>
        <v>1565.2567117619</v>
      </c>
      <c r="J32" s="40" t="n">
        <f aca="false">J29*J31</f>
        <v>1504.57023097512</v>
      </c>
      <c r="K32" s="40" t="n">
        <f aca="false">K29*K31</f>
        <v>1438.34448634776</v>
      </c>
      <c r="L32" s="40" t="n">
        <f aca="false">L29*L31</f>
        <v>1378.91992540945</v>
      </c>
      <c r="M32" s="40" t="n">
        <f aca="false">M29*M31</f>
        <v>1321.9504637024</v>
      </c>
      <c r="N32" s="40" t="n">
        <f aca="false">N29*N31</f>
        <v>1270.69719590694</v>
      </c>
      <c r="O32" s="40" t="n">
        <f aca="false">O29*O31</f>
        <v>0</v>
      </c>
      <c r="P32" s="40" t="n">
        <f aca="false">P29*P31</f>
        <v>0</v>
      </c>
      <c r="Q32" s="40" t="n">
        <f aca="false">Q29*Q31</f>
        <v>0</v>
      </c>
      <c r="R32" s="40" t="n">
        <f aca="false">R29*R31</f>
        <v>0</v>
      </c>
      <c r="S32" s="40" t="n">
        <f aca="false">S29*S31</f>
        <v>0</v>
      </c>
      <c r="T32" s="40" t="n">
        <f aca="false">T29*T31</f>
        <v>0</v>
      </c>
      <c r="U32" s="40" t="n">
        <f aca="false">U29*U31</f>
        <v>0</v>
      </c>
      <c r="V32" s="40" t="n">
        <f aca="false">V29*V31</f>
        <v>0</v>
      </c>
      <c r="W32" s="40" t="n">
        <f aca="false">W29*W31</f>
        <v>0</v>
      </c>
      <c r="X32" s="40" t="n">
        <f aca="false">X29*X31</f>
        <v>0</v>
      </c>
      <c r="Y32" s="40" t="n">
        <f aca="false">Y29*Y31</f>
        <v>0</v>
      </c>
      <c r="Z32" s="40" t="n">
        <f aca="false">Z29*Z31</f>
        <v>0</v>
      </c>
      <c r="AA32" s="40" t="n">
        <f aca="false">AA29*AA31</f>
        <v>0</v>
      </c>
      <c r="AB32" s="40" t="n">
        <f aca="false">AB29*AB31</f>
        <v>0</v>
      </c>
      <c r="AC32" s="40" t="n">
        <f aca="false">AC29*AC31</f>
        <v>0</v>
      </c>
      <c r="AD32" s="40" t="n">
        <f aca="false">AD29*AD31</f>
        <v>0</v>
      </c>
      <c r="AE32" s="40" t="n">
        <f aca="false">AE29*AE31</f>
        <v>0</v>
      </c>
      <c r="AF32" s="40" t="n">
        <f aca="false">AF29*AF31</f>
        <v>0</v>
      </c>
      <c r="AG32" s="40" t="n">
        <f aca="false">AG29*AG31</f>
        <v>0</v>
      </c>
      <c r="AH32" s="40" t="n">
        <f aca="false">AH29*AH31</f>
        <v>0</v>
      </c>
      <c r="AI32" s="40" t="n">
        <f aca="false">AI29*AI31</f>
        <v>0</v>
      </c>
      <c r="AJ32" s="40" t="n">
        <f aca="false">AJ29*AJ31</f>
        <v>0</v>
      </c>
      <c r="AK32" s="40" t="n">
        <f aca="false">AK29*AK31</f>
        <v>0</v>
      </c>
      <c r="AL32" s="40" t="n">
        <f aca="false">AL29*AL31</f>
        <v>0</v>
      </c>
      <c r="AM32" s="40" t="n">
        <f aca="false">AM29*AM31</f>
        <v>0</v>
      </c>
      <c r="AN32" s="40" t="n">
        <f aca="false">AN29*AN31</f>
        <v>0</v>
      </c>
      <c r="AO32" s="40" t="n">
        <f aca="false">AO29*AO31</f>
        <v>0</v>
      </c>
      <c r="AP32" s="40" t="n">
        <f aca="false">AP29*AP31</f>
        <v>0</v>
      </c>
      <c r="AQ32" s="40" t="n">
        <f aca="false">AQ29*AQ31</f>
        <v>0</v>
      </c>
      <c r="AR32" s="40" t="n">
        <f aca="false">AR29*AR31</f>
        <v>0</v>
      </c>
      <c r="AS32" s="40" t="n">
        <f aca="false">AS29*AS31</f>
        <v>0</v>
      </c>
      <c r="AT32" s="40" t="n">
        <f aca="false">AT29*AT31</f>
        <v>0</v>
      </c>
      <c r="AU32" s="40" t="n">
        <f aca="false">AU29*AU31</f>
        <v>0</v>
      </c>
      <c r="AV32" s="40" t="n">
        <f aca="false">AV29*AV31</f>
        <v>0</v>
      </c>
    </row>
    <row r="33" customFormat="false" ht="15" hidden="false" customHeight="false" outlineLevel="0" collapsed="false">
      <c r="B33" s="7" t="s">
        <v>150</v>
      </c>
      <c r="D33" s="16" t="n">
        <f aca="false">IF(AND($C$13=0,D$19=$C$15),D22-D21*($C$17+$C$11)-MAX(0,D22-D21*$C$17)*Inputs!$C$11,0)</f>
        <v>0</v>
      </c>
      <c r="E33" s="16" t="n">
        <f aca="false">IF(AND($C$13=0,E$19=$C$15),E22-E21*($C$17+$C$11)-MAX(0,E22-E21*$C$17)*Inputs!$C$11,0)</f>
        <v>0</v>
      </c>
      <c r="F33" s="16" t="n">
        <f aca="false">IF(AND($C$13=0,F$19=$C$15),F22-F21*($C$17+$C$11)-MAX(0,F22-F21*$C$17)*Inputs!$C$11,0)</f>
        <v>0</v>
      </c>
      <c r="G33" s="16" t="n">
        <f aca="false">IF(AND($C$13=0,G$19=$C$15),G22-G21*($C$17+$C$11)-MAX(0,G22-G21*$C$17)*Inputs!$C$11,0)</f>
        <v>0</v>
      </c>
      <c r="H33" s="16" t="n">
        <f aca="false">IF(AND($C$13=0,H$19=$C$15),H22-H21*($C$17+$C$11)-MAX(0,H22-H21*$C$17)*Inputs!$C$11,0)</f>
        <v>0</v>
      </c>
      <c r="I33" s="16" t="n">
        <f aca="false">IF(AND($C$13=0,I$19=$C$15),I22-I21*($C$17+$C$11)-MAX(0,I22-I21*$C$17)*Inputs!$C$11,0)</f>
        <v>0</v>
      </c>
      <c r="J33" s="16" t="n">
        <f aca="false">IF(AND($C$13=0,J$19=$C$15),J22-J21*($C$17+$C$11)-MAX(0,J22-J21*$C$17)*Inputs!$C$11,0)</f>
        <v>0</v>
      </c>
      <c r="K33" s="16" t="n">
        <f aca="false">IF(AND($C$13=0,K$19=$C$15),K22-K21*($C$17+$C$11)-MAX(0,K22-K21*$C$17)*Inputs!$C$11,0)</f>
        <v>0</v>
      </c>
      <c r="L33" s="16" t="n">
        <f aca="false">IF(AND($C$13=0,L$19=$C$15),L22-L21*($C$17+$C$11)-MAX(0,L22-L21*$C$17)*Inputs!$C$11,0)</f>
        <v>0</v>
      </c>
      <c r="M33" s="16" t="n">
        <f aca="false">IF(AND($C$13=0,M$19=$C$15),M22-M21*($C$17+$C$11)-MAX(0,M22-M21*$C$17)*Inputs!$C$11,0)</f>
        <v>0</v>
      </c>
      <c r="N33" s="16" t="n">
        <f aca="false">IF(AND($C$13=0,N$19=$C$15),N22-N21*($C$17+$C$11)-MAX(0,N22-N21*$C$17)*Inputs!$C$11,0)</f>
        <v>0</v>
      </c>
      <c r="O33" s="16" t="n">
        <f aca="false">IF(AND($C$13=0,O$19=$C$15),O22-O21*($C$17+$C$11)-MAX(0,O22-O21*$C$17)*Inputs!$C$11,0)</f>
        <v>0</v>
      </c>
      <c r="P33" s="16" t="n">
        <f aca="false">IF(AND($C$13=0,P$19=$C$15),P22-P21*($C$17+$C$11)-MAX(0,P22-P21*$C$17)*Inputs!$C$11,0)</f>
        <v>0</v>
      </c>
      <c r="Q33" s="16" t="n">
        <f aca="false">IF(AND($C$13=0,Q$19=$C$15),Q22-Q21*($C$17+$C$11)-MAX(0,Q22-Q21*$C$17)*Inputs!$C$11,0)</f>
        <v>0</v>
      </c>
      <c r="R33" s="16" t="n">
        <f aca="false">IF(AND($C$13=0,R$19=$C$15),R22-R21*($C$17+$C$11)-MAX(0,R22-R21*$C$17)*Inputs!$C$11,0)</f>
        <v>0</v>
      </c>
      <c r="S33" s="16" t="n">
        <f aca="false">IF(AND($C$13=0,S$19=$C$15),S22-S21*($C$17+$C$11)-MAX(0,S22-S21*$C$17)*Inputs!$C$11,0)</f>
        <v>0</v>
      </c>
      <c r="T33" s="16" t="n">
        <f aca="false">IF(AND($C$13=0,T$19=$C$15),T22-T21*($C$17+$C$11)-MAX(0,T22-T21*$C$17)*Inputs!$C$11,0)</f>
        <v>0</v>
      </c>
      <c r="U33" s="16" t="n">
        <f aca="false">IF(AND($C$13=0,U$19=$C$15),U22-U21*($C$17+$C$11)-MAX(0,U22-U21*$C$17)*Inputs!$C$11,0)</f>
        <v>0</v>
      </c>
      <c r="V33" s="16" t="n">
        <f aca="false">IF(AND($C$13=0,V$19=$C$15),V22-V21*($C$17+$C$11)-MAX(0,V22-V21*$C$17)*Inputs!$C$11,0)</f>
        <v>0</v>
      </c>
      <c r="W33" s="16" t="n">
        <f aca="false">IF(AND($C$13=0,W$19=$C$15),W22-W21*($C$17+$C$11)-MAX(0,W22-W21*$C$17)*Inputs!$C$11,0)</f>
        <v>0</v>
      </c>
      <c r="X33" s="16" t="n">
        <f aca="false">IF(AND($C$13=0,X$19=$C$15),X22-X21*($C$17+$C$11)-MAX(0,X22-X21*$C$17)*Inputs!$C$11,0)</f>
        <v>0</v>
      </c>
      <c r="Y33" s="16" t="n">
        <f aca="false">IF(AND($C$13=0,Y$19=$C$15),Y22-Y21*($C$17+$C$11)-MAX(0,Y22-Y21*$C$17)*Inputs!$C$11,0)</f>
        <v>0</v>
      </c>
      <c r="Z33" s="16" t="n">
        <f aca="false">IF(AND($C$13=0,Z$19=$C$15),Z22-Z21*($C$17+$C$11)-MAX(0,Z22-Z21*$C$17)*Inputs!$C$11,0)</f>
        <v>0</v>
      </c>
      <c r="AA33" s="16" t="n">
        <f aca="false">IF(AND($C$13=0,AA$19=$C$15),AA22-AA21*($C$17+$C$11)-MAX(0,AA22-AA21*$C$17)*Inputs!$C$11,0)</f>
        <v>0</v>
      </c>
      <c r="AB33" s="16" t="n">
        <f aca="false">IF(AND($C$13=0,AB$19=$C$15),AB22-AB21*($C$17+$C$11)-MAX(0,AB22-AB21*$C$17)*Inputs!$C$11,0)</f>
        <v>0</v>
      </c>
      <c r="AC33" s="16" t="n">
        <f aca="false">IF(AND($C$13=0,AC$19=$C$15),AC22-AC21*($C$17+$C$11)-MAX(0,AC22-AC21*$C$17)*Inputs!$C$11,0)</f>
        <v>0</v>
      </c>
      <c r="AD33" s="16" t="n">
        <f aca="false">IF(AND($C$13=0,AD$19=$C$15),AD22-AD21*($C$17+$C$11)-MAX(0,AD22-AD21*$C$17)*Inputs!$C$11,0)</f>
        <v>0</v>
      </c>
      <c r="AE33" s="16" t="n">
        <f aca="false">IF(AND($C$13=0,AE$19=$C$15),AE22-AE21*($C$17+$C$11)-MAX(0,AE22-AE21*$C$17)*Inputs!$C$11,0)</f>
        <v>0</v>
      </c>
      <c r="AF33" s="16" t="n">
        <f aca="false">IF(AND($C$13=0,AF$19=$C$15),AF22-AF21*($C$17+$C$11)-MAX(0,AF22-AF21*$C$17)*Inputs!$C$11,0)</f>
        <v>0</v>
      </c>
      <c r="AG33" s="16" t="n">
        <f aca="false">IF(AND($C$13=0,AG$19=$C$15),AG22-AG21*($C$17+$C$11)-MAX(0,AG22-AG21*$C$17)*Inputs!$C$11,0)</f>
        <v>0</v>
      </c>
      <c r="AH33" s="16" t="n">
        <f aca="false">IF(AND($C$13=0,AH$19=$C$15),AH22-AH21*($C$17+$C$11)-MAX(0,AH22-AH21*$C$17)*Inputs!$C$11,0)</f>
        <v>0</v>
      </c>
      <c r="AI33" s="16" t="n">
        <f aca="false">IF(AND($C$13=0,AI$19=$C$15),AI22-AI21*($C$17+$C$11)-MAX(0,AI22-AI21*$C$17)*Inputs!$C$11,0)</f>
        <v>0</v>
      </c>
      <c r="AJ33" s="16" t="n">
        <f aca="false">IF(AND($C$13=0,AJ$19=$C$15),AJ22-AJ21*($C$17+$C$11)-MAX(0,AJ22-AJ21*$C$17)*Inputs!$C$11,0)</f>
        <v>0</v>
      </c>
      <c r="AK33" s="16" t="n">
        <f aca="false">IF(AND($C$13=0,AK$19=$C$15),AK22-AK21*($C$17+$C$11)-MAX(0,AK22-AK21*$C$17)*Inputs!$C$11,0)</f>
        <v>0</v>
      </c>
      <c r="AL33" s="16" t="n">
        <f aca="false">IF(AND($C$13=0,AL$19=$C$15),AL22-AL21*($C$17+$C$11)-MAX(0,AL22-AL21*$C$17)*Inputs!$C$11,0)</f>
        <v>0</v>
      </c>
      <c r="AM33" s="16" t="n">
        <f aca="false">IF(AND($C$13=0,AM$19=$C$15),AM22-AM21*($C$17+$C$11)-MAX(0,AM22-AM21*$C$17)*Inputs!$C$11,0)</f>
        <v>0</v>
      </c>
      <c r="AN33" s="16" t="n">
        <f aca="false">IF(AND($C$13=0,AN$19=$C$15),AN22-AN21*($C$17+$C$11)-MAX(0,AN22-AN21*$C$17)*Inputs!$C$11,0)</f>
        <v>0</v>
      </c>
      <c r="AO33" s="16" t="n">
        <f aca="false">IF(AND($C$13=0,AO$19=$C$15),AO22-AO21*($C$17+$C$11)-MAX(0,AO22-AO21*$C$17)*Inputs!$C$11,0)</f>
        <v>0</v>
      </c>
      <c r="AP33" s="16" t="n">
        <f aca="false">IF(AND($C$13=0,AP$19=$C$15),AP22-AP21*($C$17+$C$11)-MAX(0,AP22-AP21*$C$17)*Inputs!$C$11,0)</f>
        <v>0</v>
      </c>
      <c r="AQ33" s="16" t="n">
        <f aca="false">IF(AND($C$13=0,AQ$19=$C$15),AQ22-AQ21*($C$17+$C$11)-MAX(0,AQ22-AQ21*$C$17)*Inputs!$C$11,0)</f>
        <v>0</v>
      </c>
      <c r="AR33" s="16" t="n">
        <f aca="false">IF(AND($C$13=0,AR$19=$C$15),AR22-AR21*($C$17+$C$11)-MAX(0,AR22-AR21*$C$17)*Inputs!$C$11,0)</f>
        <v>0</v>
      </c>
      <c r="AS33" s="16" t="n">
        <f aca="false">IF(AND($C$13=0,AS$19=$C$15),AS22-AS21*($C$17+$C$11)-MAX(0,AS22-AS21*$C$17)*Inputs!$C$11,0)</f>
        <v>0</v>
      </c>
      <c r="AT33" s="16" t="n">
        <f aca="false">IF(AND($C$13=0,AT$19=$C$15),AT22-AT21*($C$17+$C$11)-MAX(0,AT22-AT21*$C$17)*Inputs!$C$11,0)</f>
        <v>0</v>
      </c>
      <c r="AU33" s="16" t="n">
        <f aca="false">IF(AND($C$13=0,AU$19=$C$15),AU22-AU21*($C$17+$C$11)-MAX(0,AU22-AU21*$C$17)*Inputs!$C$11,0)</f>
        <v>0</v>
      </c>
      <c r="AV33" s="16" t="n">
        <f aca="false">IF(AND($C$13=0,AV$19=$C$15),AV22-AV21*($C$17+$C$11)-MAX(0,AV22-AV21*$C$17)*Inputs!$C$11,0)</f>
        <v>0</v>
      </c>
    </row>
    <row r="34" customFormat="false" ht="15" hidden="false" customHeight="false" outlineLevel="0" collapsed="false">
      <c r="B34" s="7" t="s">
        <v>151</v>
      </c>
      <c r="D34" s="16" t="n">
        <f aca="false">D33*(1+$C$16)/($C$12-$C$16)*D31</f>
        <v>0</v>
      </c>
      <c r="E34" s="16" t="n">
        <f aca="false">E33*(1+$C$16)/($C$12-$C$16)*E31</f>
        <v>0</v>
      </c>
      <c r="F34" s="16" t="n">
        <f aca="false">F33*(1+$C$16)/($C$12-$C$16)*F31</f>
        <v>0</v>
      </c>
      <c r="G34" s="16" t="n">
        <f aca="false">G33*(1+$C$16)/($C$12-$C$16)*G31</f>
        <v>0</v>
      </c>
      <c r="H34" s="16" t="n">
        <f aca="false">H33*(1+$C$16)/($C$12-$C$16)*H31</f>
        <v>0</v>
      </c>
      <c r="I34" s="16" t="n">
        <f aca="false">I33*(1+$C$16)/($C$12-$C$16)*I31</f>
        <v>0</v>
      </c>
      <c r="J34" s="16" t="n">
        <f aca="false">J33*(1+$C$16)/($C$12-$C$16)*J31</f>
        <v>0</v>
      </c>
      <c r="K34" s="16" t="n">
        <f aca="false">K33*(1+$C$16)/($C$12-$C$16)*K31</f>
        <v>0</v>
      </c>
      <c r="L34" s="16" t="n">
        <f aca="false">L33*(1+$C$16)/($C$12-$C$16)*L31</f>
        <v>0</v>
      </c>
      <c r="M34" s="16" t="n">
        <f aca="false">M33*(1+$C$16)/($C$12-$C$16)*M31</f>
        <v>0</v>
      </c>
      <c r="N34" s="16" t="n">
        <f aca="false">N33*(1+$C$16)/($C$12-$C$16)*N31</f>
        <v>0</v>
      </c>
      <c r="O34" s="16" t="n">
        <f aca="false">O33*(1+$C$16)/($C$12-$C$16)*O31</f>
        <v>0</v>
      </c>
      <c r="P34" s="16" t="n">
        <f aca="false">P33*(1+$C$16)/($C$12-$C$16)*P31</f>
        <v>0</v>
      </c>
      <c r="Q34" s="16" t="n">
        <f aca="false">Q33*(1+$C$16)/($C$12-$C$16)*Q31</f>
        <v>0</v>
      </c>
      <c r="R34" s="16" t="n">
        <f aca="false">R33*(1+$C$16)/($C$12-$C$16)*R31</f>
        <v>0</v>
      </c>
      <c r="S34" s="16" t="n">
        <f aca="false">S33*(1+$C$16)/($C$12-$C$16)*S31</f>
        <v>0</v>
      </c>
      <c r="T34" s="16" t="n">
        <f aca="false">T33*(1+$C$16)/($C$12-$C$16)*T31</f>
        <v>0</v>
      </c>
      <c r="U34" s="16" t="n">
        <f aca="false">U33*(1+$C$16)/($C$12-$C$16)*U31</f>
        <v>0</v>
      </c>
      <c r="V34" s="16" t="n">
        <f aca="false">V33*(1+$C$16)/($C$12-$C$16)*V31</f>
        <v>0</v>
      </c>
      <c r="W34" s="16" t="n">
        <f aca="false">W33*(1+$C$16)/($C$12-$C$16)*W31</f>
        <v>0</v>
      </c>
      <c r="X34" s="16" t="n">
        <f aca="false">X33*(1+$C$16)/($C$12-$C$16)*X31</f>
        <v>0</v>
      </c>
      <c r="Y34" s="16" t="n">
        <f aca="false">Y33*(1+$C$16)/($C$12-$C$16)*Y31</f>
        <v>0</v>
      </c>
      <c r="Z34" s="16" t="n">
        <f aca="false">Z33*(1+$C$16)/($C$12-$C$16)*Z31</f>
        <v>0</v>
      </c>
      <c r="AA34" s="16" t="n">
        <f aca="false">AA33*(1+$C$16)/($C$12-$C$16)*AA31</f>
        <v>0</v>
      </c>
      <c r="AB34" s="16" t="n">
        <f aca="false">AB33*(1+$C$16)/($C$12-$C$16)*AB31</f>
        <v>0</v>
      </c>
      <c r="AC34" s="16" t="n">
        <f aca="false">AC33*(1+$C$16)/($C$12-$C$16)*AC31</f>
        <v>0</v>
      </c>
      <c r="AD34" s="16" t="n">
        <f aca="false">AD33*(1+$C$16)/($C$12-$C$16)*AD31</f>
        <v>0</v>
      </c>
      <c r="AE34" s="16" t="n">
        <f aca="false">AE33*(1+$C$16)/($C$12-$C$16)*AE31</f>
        <v>0</v>
      </c>
      <c r="AF34" s="16" t="n">
        <f aca="false">AF33*(1+$C$16)/($C$12-$C$16)*AF31</f>
        <v>0</v>
      </c>
      <c r="AG34" s="16" t="n">
        <f aca="false">AG33*(1+$C$16)/($C$12-$C$16)*AG31</f>
        <v>0</v>
      </c>
      <c r="AH34" s="16" t="n">
        <f aca="false">AH33*(1+$C$16)/($C$12-$C$16)*AH31</f>
        <v>0</v>
      </c>
      <c r="AI34" s="16" t="n">
        <f aca="false">AI33*(1+$C$16)/($C$12-$C$16)*AI31</f>
        <v>0</v>
      </c>
      <c r="AJ34" s="16" t="n">
        <f aca="false">AJ33*(1+$C$16)/($C$12-$C$16)*AJ31</f>
        <v>0</v>
      </c>
      <c r="AK34" s="16" t="n">
        <f aca="false">AK33*(1+$C$16)/($C$12-$C$16)*AK31</f>
        <v>0</v>
      </c>
      <c r="AL34" s="16" t="n">
        <f aca="false">AL33*(1+$C$16)/($C$12-$C$16)*AL31</f>
        <v>0</v>
      </c>
      <c r="AM34" s="16" t="n">
        <f aca="false">AM33*(1+$C$16)/($C$12-$C$16)*AM31</f>
        <v>0</v>
      </c>
      <c r="AN34" s="16" t="n">
        <f aca="false">AN33*(1+$C$16)/($C$12-$C$16)*AN31</f>
        <v>0</v>
      </c>
      <c r="AO34" s="16" t="n">
        <f aca="false">AO33*(1+$C$16)/($C$12-$C$16)*AO31</f>
        <v>0</v>
      </c>
      <c r="AP34" s="16" t="n">
        <f aca="false">AP33*(1+$C$16)/($C$12-$C$16)*AP31</f>
        <v>0</v>
      </c>
      <c r="AQ34" s="16" t="n">
        <f aca="false">AQ33*(1+$C$16)/($C$12-$C$16)*AQ31</f>
        <v>0</v>
      </c>
      <c r="AR34" s="16" t="n">
        <f aca="false">AR33*(1+$C$16)/($C$12-$C$16)*AR31</f>
        <v>0</v>
      </c>
      <c r="AS34" s="16" t="n">
        <f aca="false">AS33*(1+$C$16)/($C$12-$C$16)*AS31</f>
        <v>0</v>
      </c>
      <c r="AT34" s="16" t="n">
        <f aca="false">AT33*(1+$C$16)/($C$12-$C$16)*AT31</f>
        <v>0</v>
      </c>
      <c r="AU34" s="16" t="n">
        <f aca="false">AU33*(1+$C$16)/($C$12-$C$16)*AU31</f>
        <v>0</v>
      </c>
      <c r="AV34" s="16" t="n">
        <f aca="false">AV33*(1+$C$16)/($C$12-$C$16)*AV31</f>
        <v>0</v>
      </c>
    </row>
    <row r="36" customFormat="false" ht="15" hidden="false" customHeight="false" outlineLevel="0" collapsed="false">
      <c r="B36" s="7" t="s">
        <v>152</v>
      </c>
      <c r="C36" s="16" t="n">
        <f aca="false">SUM($D$32:$AV$32)</f>
        <v>16324.9164306809</v>
      </c>
    </row>
    <row r="37" customFormat="false" ht="15" hidden="false" customHeight="false" outlineLevel="0" collapsed="false">
      <c r="B37" s="7" t="s">
        <v>151</v>
      </c>
      <c r="C37" s="16" t="n">
        <f aca="false">SUM($D$34:$AV$34)</f>
        <v>0</v>
      </c>
    </row>
    <row r="38" customFormat="false" ht="15" hidden="false" customHeight="false" outlineLevel="0" collapsed="false">
      <c r="B38" s="12" t="s">
        <v>153</v>
      </c>
      <c r="C38" s="13" t="n">
        <f aca="false">C36+C37</f>
        <v>16324.9164306809</v>
      </c>
    </row>
    <row r="39" customFormat="false" ht="15" hidden="false" customHeight="false" outlineLevel="0" collapsed="false">
      <c r="B39" s="7" t="s">
        <v>154</v>
      </c>
      <c r="C39" s="10" t="n">
        <f aca="false">IF(C38=0,0,C37/C38)</f>
        <v>0</v>
      </c>
    </row>
    <row r="40" customFormat="false" ht="15" hidden="false" customHeight="false" outlineLevel="0" collapsed="false">
      <c r="B40" s="7" t="s">
        <v>155</v>
      </c>
      <c r="C40" s="41" t="n">
        <f aca="false">IF(D22=0,0,C38/D22)</f>
        <v>5.88919055870825</v>
      </c>
    </row>
    <row r="41" customFormat="false" ht="15" hidden="false" customHeight="false" outlineLevel="0" collapsed="false">
      <c r="B41" s="7" t="s">
        <v>156</v>
      </c>
      <c r="C41" s="16" t="n">
        <f aca="false">SUM($D$33:$AV$33)</f>
        <v>0</v>
      </c>
    </row>
    <row r="42" customFormat="false" ht="15" hidden="false" customHeight="false" outlineLevel="0" collapsed="false">
      <c r="B42" s="7" t="s">
        <v>157</v>
      </c>
      <c r="C42" s="37" t="n">
        <f aca="false">SUMPRODUCT(($D$19:$AV$19=$C$15)*$D$30:$AV$30)</f>
        <v>0</v>
      </c>
    </row>
    <row r="43" customFormat="false" ht="15" hidden="false" customHeight="false" outlineLevel="0" collapsed="false">
      <c r="B43" s="12" t="s">
        <v>158</v>
      </c>
      <c r="C43" s="12" t="str">
        <f aca="false">IF(AND($C$12&gt;$C$16,SUMPRODUCT(($D$19:$AV$19&gt;YEAR($C$14))*($C$13=1)*ABS($D$29:$AV$29))=0),"OK","REVISAR")</f>
        <v>OK</v>
      </c>
    </row>
    <row r="46" customFormat="false" ht="15" hidden="false" customHeight="false" outlineLevel="0" collapsed="false">
      <c r="B46" s="22" t="s">
        <v>25</v>
      </c>
      <c r="C46" s="22"/>
      <c r="D46" s="22"/>
      <c r="E46" s="22"/>
      <c r="F46" s="22"/>
    </row>
    <row r="47" customFormat="false" ht="15" hidden="false" customHeight="true" outlineLevel="0" collapsed="false">
      <c r="B47" s="7" t="s">
        <v>122</v>
      </c>
      <c r="C47" s="31" t="n">
        <v>961</v>
      </c>
      <c r="D47" s="33" t="s">
        <v>159</v>
      </c>
      <c r="E47" s="33"/>
      <c r="F47" s="33"/>
      <c r="G47" s="33"/>
      <c r="H47" s="33"/>
      <c r="I47" s="33"/>
      <c r="J47" s="33"/>
      <c r="K47" s="33"/>
      <c r="L47" s="33"/>
      <c r="M47" s="33"/>
      <c r="N47" s="33"/>
    </row>
    <row r="48" customFormat="false" ht="15" hidden="false" customHeight="false" outlineLevel="0" collapsed="false">
      <c r="B48" s="7" t="s">
        <v>124</v>
      </c>
      <c r="C48" s="29" t="n">
        <v>-0.007</v>
      </c>
      <c r="D48" s="33"/>
      <c r="E48" s="33"/>
      <c r="F48" s="33"/>
      <c r="G48" s="33"/>
      <c r="H48" s="33"/>
      <c r="I48" s="33"/>
      <c r="J48" s="33"/>
      <c r="K48" s="33"/>
      <c r="L48" s="33"/>
      <c r="M48" s="33"/>
      <c r="N48" s="33"/>
    </row>
    <row r="49" customFormat="false" ht="15" hidden="false" customHeight="false" outlineLevel="0" collapsed="false">
      <c r="B49" s="7" t="s">
        <v>125</v>
      </c>
      <c r="C49" s="30" t="n">
        <v>0.021</v>
      </c>
      <c r="D49" s="33"/>
      <c r="E49" s="33"/>
      <c r="F49" s="33"/>
      <c r="G49" s="33"/>
      <c r="H49" s="33"/>
      <c r="I49" s="33"/>
      <c r="J49" s="33"/>
      <c r="K49" s="33"/>
      <c r="L49" s="33"/>
      <c r="M49" s="33"/>
      <c r="N49" s="33"/>
    </row>
    <row r="50" customFormat="false" ht="15" hidden="false" customHeight="false" outlineLevel="0" collapsed="false">
      <c r="B50" s="7" t="s">
        <v>126</v>
      </c>
      <c r="C50" s="29" t="n">
        <v>0.7105</v>
      </c>
      <c r="D50" s="33"/>
      <c r="E50" s="33"/>
      <c r="F50" s="33"/>
      <c r="G50" s="33"/>
      <c r="H50" s="33"/>
      <c r="I50" s="33"/>
      <c r="J50" s="33"/>
      <c r="K50" s="33"/>
      <c r="L50" s="33"/>
      <c r="M50" s="33"/>
      <c r="N50" s="33"/>
    </row>
    <row r="51" customFormat="false" ht="15" hidden="false" customHeight="false" outlineLevel="0" collapsed="false">
      <c r="B51" s="7" t="s">
        <v>127</v>
      </c>
      <c r="C51" s="29" t="n">
        <v>0.2232</v>
      </c>
      <c r="D51" s="33"/>
      <c r="E51" s="33"/>
      <c r="F51" s="33"/>
      <c r="G51" s="33"/>
      <c r="H51" s="33"/>
      <c r="I51" s="33"/>
      <c r="J51" s="33"/>
      <c r="K51" s="33"/>
      <c r="L51" s="33"/>
      <c r="M51" s="33"/>
      <c r="N51" s="33"/>
    </row>
    <row r="52" customFormat="false" ht="15" hidden="false" customHeight="false" outlineLevel="0" collapsed="false">
      <c r="B52" s="7" t="s">
        <v>128</v>
      </c>
      <c r="C52" s="29" t="n">
        <v>0.0873</v>
      </c>
      <c r="D52" s="33"/>
      <c r="E52" s="33"/>
      <c r="F52" s="33"/>
      <c r="G52" s="33"/>
      <c r="H52" s="33"/>
      <c r="I52" s="33"/>
      <c r="J52" s="33"/>
      <c r="K52" s="33"/>
      <c r="L52" s="33"/>
      <c r="M52" s="33"/>
      <c r="N52" s="33"/>
    </row>
    <row r="53" customFormat="false" ht="15" hidden="false" customHeight="false" outlineLevel="0" collapsed="false">
      <c r="B53" s="7" t="s">
        <v>129</v>
      </c>
      <c r="C53" s="29" t="n">
        <v>0.0018</v>
      </c>
      <c r="D53" s="33"/>
      <c r="E53" s="33"/>
      <c r="F53" s="33"/>
      <c r="G53" s="33"/>
      <c r="H53" s="33"/>
      <c r="I53" s="33"/>
      <c r="J53" s="33"/>
      <c r="K53" s="33"/>
      <c r="L53" s="33"/>
      <c r="M53" s="33"/>
      <c r="N53" s="33"/>
    </row>
    <row r="54" customFormat="false" ht="15" hidden="false" customHeight="false" outlineLevel="0" collapsed="false">
      <c r="B54" s="7" t="s">
        <v>130</v>
      </c>
      <c r="C54" s="30" t="n">
        <v>0.065</v>
      </c>
      <c r="D54" s="33"/>
      <c r="E54" s="33"/>
      <c r="F54" s="33"/>
      <c r="G54" s="33"/>
      <c r="H54" s="33"/>
      <c r="I54" s="33"/>
      <c r="J54" s="33"/>
      <c r="K54" s="33"/>
      <c r="L54" s="33"/>
      <c r="M54" s="33"/>
      <c r="N54" s="33"/>
    </row>
    <row r="55" customFormat="false" ht="15" hidden="false" customHeight="false" outlineLevel="0" collapsed="false">
      <c r="B55" s="7" t="s">
        <v>131</v>
      </c>
      <c r="C55" s="34" t="n">
        <v>1</v>
      </c>
      <c r="D55" s="33"/>
      <c r="E55" s="33"/>
      <c r="F55" s="33"/>
      <c r="G55" s="33"/>
      <c r="H55" s="33"/>
      <c r="I55" s="33"/>
      <c r="J55" s="33"/>
      <c r="K55" s="33"/>
      <c r="L55" s="33"/>
      <c r="M55" s="33"/>
      <c r="N55" s="33"/>
    </row>
    <row r="56" customFormat="false" ht="15" hidden="false" customHeight="false" outlineLevel="0" collapsed="false">
      <c r="B56" s="7" t="s">
        <v>132</v>
      </c>
      <c r="C56" s="35" t="n">
        <v>48579</v>
      </c>
      <c r="D56" s="33"/>
      <c r="E56" s="33"/>
      <c r="F56" s="33"/>
      <c r="G56" s="33"/>
      <c r="H56" s="33"/>
      <c r="I56" s="33"/>
      <c r="J56" s="33"/>
      <c r="K56" s="33"/>
      <c r="L56" s="33"/>
      <c r="M56" s="33"/>
      <c r="N56" s="33"/>
    </row>
    <row r="57" customFormat="false" ht="15" hidden="false" customHeight="false" outlineLevel="0" collapsed="false">
      <c r="B57" s="7" t="s">
        <v>133</v>
      </c>
      <c r="C57" s="34" t="n">
        <v>0</v>
      </c>
      <c r="D57" s="33"/>
      <c r="E57" s="33"/>
      <c r="F57" s="33"/>
      <c r="G57" s="33"/>
      <c r="H57" s="33"/>
      <c r="I57" s="33"/>
      <c r="J57" s="33"/>
      <c r="K57" s="33"/>
      <c r="L57" s="33"/>
      <c r="M57" s="33"/>
      <c r="N57" s="33"/>
    </row>
    <row r="58" customFormat="false" ht="15" hidden="false" customHeight="false" outlineLevel="0" collapsed="false">
      <c r="B58" s="7" t="s">
        <v>134</v>
      </c>
      <c r="C58" s="30" t="n">
        <v>0</v>
      </c>
      <c r="D58" s="33"/>
      <c r="E58" s="33"/>
      <c r="F58" s="33"/>
      <c r="G58" s="33"/>
      <c r="H58" s="33"/>
      <c r="I58" s="33"/>
      <c r="J58" s="33"/>
      <c r="K58" s="33"/>
      <c r="L58" s="33"/>
      <c r="M58" s="33"/>
      <c r="N58" s="33"/>
    </row>
    <row r="59" customFormat="false" ht="15" hidden="false" customHeight="false" outlineLevel="0" collapsed="false">
      <c r="B59" s="7" t="s">
        <v>135</v>
      </c>
      <c r="C59" s="29" t="n">
        <v>0</v>
      </c>
      <c r="D59" s="33"/>
      <c r="E59" s="33"/>
      <c r="F59" s="33"/>
      <c r="G59" s="33"/>
      <c r="H59" s="33"/>
      <c r="I59" s="33"/>
      <c r="J59" s="33"/>
      <c r="K59" s="33"/>
      <c r="L59" s="33"/>
      <c r="M59" s="33"/>
      <c r="N59" s="33"/>
    </row>
    <row r="61" customFormat="false" ht="15" hidden="false" customHeight="false" outlineLevel="0" collapsed="false">
      <c r="B61" s="6" t="s">
        <v>136</v>
      </c>
      <c r="D61" s="36" t="n">
        <v>2026</v>
      </c>
      <c r="E61" s="36" t="n">
        <v>2027</v>
      </c>
      <c r="F61" s="36" t="n">
        <v>2028</v>
      </c>
      <c r="G61" s="36" t="n">
        <v>2029</v>
      </c>
      <c r="H61" s="36" t="n">
        <v>2030</v>
      </c>
      <c r="I61" s="36" t="n">
        <v>2031</v>
      </c>
      <c r="J61" s="36" t="n">
        <v>2032</v>
      </c>
      <c r="K61" s="36" t="n">
        <v>2033</v>
      </c>
      <c r="L61" s="36" t="n">
        <v>2034</v>
      </c>
      <c r="M61" s="36" t="n">
        <v>2035</v>
      </c>
      <c r="N61" s="36" t="n">
        <v>2036</v>
      </c>
      <c r="O61" s="36" t="n">
        <v>2037</v>
      </c>
      <c r="P61" s="36" t="n">
        <v>2038</v>
      </c>
      <c r="Q61" s="36" t="n">
        <v>2039</v>
      </c>
      <c r="R61" s="36" t="n">
        <v>2040</v>
      </c>
      <c r="S61" s="36" t="n">
        <v>2041</v>
      </c>
      <c r="T61" s="36" t="n">
        <v>2042</v>
      </c>
      <c r="U61" s="36" t="n">
        <v>2043</v>
      </c>
      <c r="V61" s="36" t="n">
        <v>2044</v>
      </c>
      <c r="W61" s="36" t="n">
        <v>2045</v>
      </c>
      <c r="X61" s="36" t="n">
        <v>2046</v>
      </c>
      <c r="Y61" s="36" t="n">
        <v>2047</v>
      </c>
      <c r="Z61" s="36" t="n">
        <v>2048</v>
      </c>
      <c r="AA61" s="36" t="n">
        <v>2049</v>
      </c>
      <c r="AB61" s="36" t="n">
        <v>2050</v>
      </c>
      <c r="AC61" s="36" t="n">
        <v>2051</v>
      </c>
      <c r="AD61" s="36" t="n">
        <v>2052</v>
      </c>
      <c r="AE61" s="36" t="n">
        <v>2053</v>
      </c>
      <c r="AF61" s="36" t="n">
        <v>2054</v>
      </c>
      <c r="AG61" s="36" t="n">
        <v>2055</v>
      </c>
      <c r="AH61" s="36" t="n">
        <v>2056</v>
      </c>
      <c r="AI61" s="36" t="n">
        <v>2057</v>
      </c>
      <c r="AJ61" s="36" t="n">
        <v>2058</v>
      </c>
      <c r="AK61" s="36" t="n">
        <v>2059</v>
      </c>
      <c r="AL61" s="36" t="n">
        <v>2060</v>
      </c>
      <c r="AM61" s="36" t="n">
        <v>2061</v>
      </c>
      <c r="AN61" s="36" t="n">
        <v>2062</v>
      </c>
      <c r="AO61" s="36" t="n">
        <v>2063</v>
      </c>
      <c r="AP61" s="36" t="n">
        <v>2064</v>
      </c>
      <c r="AQ61" s="36" t="n">
        <v>2065</v>
      </c>
      <c r="AR61" s="36" t="n">
        <v>2066</v>
      </c>
      <c r="AS61" s="36" t="n">
        <v>2067</v>
      </c>
      <c r="AT61" s="36" t="n">
        <v>2068</v>
      </c>
      <c r="AU61" s="36" t="n">
        <v>2069</v>
      </c>
      <c r="AV61" s="36" t="n">
        <v>2070</v>
      </c>
    </row>
    <row r="62" customFormat="false" ht="15" hidden="false" customHeight="false" outlineLevel="0" collapsed="false">
      <c r="B62" s="7" t="s">
        <v>137</v>
      </c>
      <c r="D62" s="37" t="n">
        <f aca="false">IF($C$55=1,MAX(0,MIN(DATE(D$61,12,31),$C$56)-MAX(Inputs!$C$5+1,DATE(D$61,1,1))+1)/365,IF(D$61&lt;=$C$57,(DATE(D$61,12,31)-MAX(Inputs!$C$5+1,DATE(D$61,1,1))+1)/365,0))</f>
        <v>0.504109589041096</v>
      </c>
      <c r="E62" s="37" t="n">
        <f aca="false">IF($C$55=1,MAX(0,MIN(DATE(E$61,12,31),$C$56)-MAX(Inputs!$C$5+1,DATE(E$61,1,1))+1)/365,IF(E$61&lt;=$C$57,(DATE(E$61,12,31)-MAX(Inputs!$C$5+1,DATE(E$61,1,1))+1)/365,0))</f>
        <v>1</v>
      </c>
      <c r="F62" s="37" t="n">
        <f aca="false">IF($C$55=1,MAX(0,MIN(DATE(F$61,12,31),$C$56)-MAX(Inputs!$C$5+1,DATE(F$61,1,1))+1)/365,IF(F$61&lt;=$C$57,(DATE(F$61,12,31)-MAX(Inputs!$C$5+1,DATE(F$61,1,1))+1)/365,0))</f>
        <v>1.0027397260274</v>
      </c>
      <c r="G62" s="37" t="n">
        <f aca="false">IF($C$55=1,MAX(0,MIN(DATE(G$61,12,31),$C$56)-MAX(Inputs!$C$5+1,DATE(G$61,1,1))+1)/365,IF(G$61&lt;=$C$57,(DATE(G$61,12,31)-MAX(Inputs!$C$5+1,DATE(G$61,1,1))+1)/365,0))</f>
        <v>1</v>
      </c>
      <c r="H62" s="37" t="n">
        <f aca="false">IF($C$55=1,MAX(0,MIN(DATE(H$61,12,31),$C$56)-MAX(Inputs!$C$5+1,DATE(H$61,1,1))+1)/365,IF(H$61&lt;=$C$57,(DATE(H$61,12,31)-MAX(Inputs!$C$5+1,DATE(H$61,1,1))+1)/365,0))</f>
        <v>1</v>
      </c>
      <c r="I62" s="37" t="n">
        <f aca="false">IF($C$55=1,MAX(0,MIN(DATE(I$61,12,31),$C$56)-MAX(Inputs!$C$5+1,DATE(I$61,1,1))+1)/365,IF(I$61&lt;=$C$57,(DATE(I$61,12,31)-MAX(Inputs!$C$5+1,DATE(I$61,1,1))+1)/365,0))</f>
        <v>1</v>
      </c>
      <c r="J62" s="37" t="n">
        <f aca="false">IF($C$55=1,MAX(0,MIN(DATE(J$61,12,31),$C$56)-MAX(Inputs!$C$5+1,DATE(J$61,1,1))+1)/365,IF(J$61&lt;=$C$57,(DATE(J$61,12,31)-MAX(Inputs!$C$5+1,DATE(J$61,1,1))+1)/365,0))</f>
        <v>1.0027397260274</v>
      </c>
      <c r="K62" s="37" t="n">
        <f aca="false">IF($C$55=1,MAX(0,MIN(DATE(K$61,12,31),$C$56)-MAX(Inputs!$C$5+1,DATE(K$61,1,1))+1)/365,IF(K$61&lt;=$C$57,(DATE(K$61,12,31)-MAX(Inputs!$C$5+1,DATE(K$61,1,1))+1)/365,0))</f>
        <v>0</v>
      </c>
      <c r="L62" s="37" t="n">
        <f aca="false">IF($C$55=1,MAX(0,MIN(DATE(L$61,12,31),$C$56)-MAX(Inputs!$C$5+1,DATE(L$61,1,1))+1)/365,IF(L$61&lt;=$C$57,(DATE(L$61,12,31)-MAX(Inputs!$C$5+1,DATE(L$61,1,1))+1)/365,0))</f>
        <v>0</v>
      </c>
      <c r="M62" s="37" t="n">
        <f aca="false">IF($C$55=1,MAX(0,MIN(DATE(M$61,12,31),$C$56)-MAX(Inputs!$C$5+1,DATE(M$61,1,1))+1)/365,IF(M$61&lt;=$C$57,(DATE(M$61,12,31)-MAX(Inputs!$C$5+1,DATE(M$61,1,1))+1)/365,0))</f>
        <v>0</v>
      </c>
      <c r="N62" s="37" t="n">
        <f aca="false">IF($C$55=1,MAX(0,MIN(DATE(N$61,12,31),$C$56)-MAX(Inputs!$C$5+1,DATE(N$61,1,1))+1)/365,IF(N$61&lt;=$C$57,(DATE(N$61,12,31)-MAX(Inputs!$C$5+1,DATE(N$61,1,1))+1)/365,0))</f>
        <v>0</v>
      </c>
      <c r="O62" s="37" t="n">
        <f aca="false">IF($C$55=1,MAX(0,MIN(DATE(O$61,12,31),$C$56)-MAX(Inputs!$C$5+1,DATE(O$61,1,1))+1)/365,IF(O$61&lt;=$C$57,(DATE(O$61,12,31)-MAX(Inputs!$C$5+1,DATE(O$61,1,1))+1)/365,0))</f>
        <v>0</v>
      </c>
      <c r="P62" s="37" t="n">
        <f aca="false">IF($C$55=1,MAX(0,MIN(DATE(P$61,12,31),$C$56)-MAX(Inputs!$C$5+1,DATE(P$61,1,1))+1)/365,IF(P$61&lt;=$C$57,(DATE(P$61,12,31)-MAX(Inputs!$C$5+1,DATE(P$61,1,1))+1)/365,0))</f>
        <v>0</v>
      </c>
      <c r="Q62" s="37" t="n">
        <f aca="false">IF($C$55=1,MAX(0,MIN(DATE(Q$61,12,31),$C$56)-MAX(Inputs!$C$5+1,DATE(Q$61,1,1))+1)/365,IF(Q$61&lt;=$C$57,(DATE(Q$61,12,31)-MAX(Inputs!$C$5+1,DATE(Q$61,1,1))+1)/365,0))</f>
        <v>0</v>
      </c>
      <c r="R62" s="37" t="n">
        <f aca="false">IF($C$55=1,MAX(0,MIN(DATE(R$61,12,31),$C$56)-MAX(Inputs!$C$5+1,DATE(R$61,1,1))+1)/365,IF(R$61&lt;=$C$57,(DATE(R$61,12,31)-MAX(Inputs!$C$5+1,DATE(R$61,1,1))+1)/365,0))</f>
        <v>0</v>
      </c>
      <c r="S62" s="37" t="n">
        <f aca="false">IF($C$55=1,MAX(0,MIN(DATE(S$61,12,31),$C$56)-MAX(Inputs!$C$5+1,DATE(S$61,1,1))+1)/365,IF(S$61&lt;=$C$57,(DATE(S$61,12,31)-MAX(Inputs!$C$5+1,DATE(S$61,1,1))+1)/365,0))</f>
        <v>0</v>
      </c>
      <c r="T62" s="37" t="n">
        <f aca="false">IF($C$55=1,MAX(0,MIN(DATE(T$61,12,31),$C$56)-MAX(Inputs!$C$5+1,DATE(T$61,1,1))+1)/365,IF(T$61&lt;=$C$57,(DATE(T$61,12,31)-MAX(Inputs!$C$5+1,DATE(T$61,1,1))+1)/365,0))</f>
        <v>0</v>
      </c>
      <c r="U62" s="37" t="n">
        <f aca="false">IF($C$55=1,MAX(0,MIN(DATE(U$61,12,31),$C$56)-MAX(Inputs!$C$5+1,DATE(U$61,1,1))+1)/365,IF(U$61&lt;=$C$57,(DATE(U$61,12,31)-MAX(Inputs!$C$5+1,DATE(U$61,1,1))+1)/365,0))</f>
        <v>0</v>
      </c>
      <c r="V62" s="37" t="n">
        <f aca="false">IF($C$55=1,MAX(0,MIN(DATE(V$61,12,31),$C$56)-MAX(Inputs!$C$5+1,DATE(V$61,1,1))+1)/365,IF(V$61&lt;=$C$57,(DATE(V$61,12,31)-MAX(Inputs!$C$5+1,DATE(V$61,1,1))+1)/365,0))</f>
        <v>0</v>
      </c>
      <c r="W62" s="37" t="n">
        <f aca="false">IF($C$55=1,MAX(0,MIN(DATE(W$61,12,31),$C$56)-MAX(Inputs!$C$5+1,DATE(W$61,1,1))+1)/365,IF(W$61&lt;=$C$57,(DATE(W$61,12,31)-MAX(Inputs!$C$5+1,DATE(W$61,1,1))+1)/365,0))</f>
        <v>0</v>
      </c>
      <c r="X62" s="37" t="n">
        <f aca="false">IF($C$55=1,MAX(0,MIN(DATE(X$61,12,31),$C$56)-MAX(Inputs!$C$5+1,DATE(X$61,1,1))+1)/365,IF(X$61&lt;=$C$57,(DATE(X$61,12,31)-MAX(Inputs!$C$5+1,DATE(X$61,1,1))+1)/365,0))</f>
        <v>0</v>
      </c>
      <c r="Y62" s="37" t="n">
        <f aca="false">IF($C$55=1,MAX(0,MIN(DATE(Y$61,12,31),$C$56)-MAX(Inputs!$C$5+1,DATE(Y$61,1,1))+1)/365,IF(Y$61&lt;=$C$57,(DATE(Y$61,12,31)-MAX(Inputs!$C$5+1,DATE(Y$61,1,1))+1)/365,0))</f>
        <v>0</v>
      </c>
      <c r="Z62" s="37" t="n">
        <f aca="false">IF($C$55=1,MAX(0,MIN(DATE(Z$61,12,31),$C$56)-MAX(Inputs!$C$5+1,DATE(Z$61,1,1))+1)/365,IF(Z$61&lt;=$C$57,(DATE(Z$61,12,31)-MAX(Inputs!$C$5+1,DATE(Z$61,1,1))+1)/365,0))</f>
        <v>0</v>
      </c>
      <c r="AA62" s="37" t="n">
        <f aca="false">IF($C$55=1,MAX(0,MIN(DATE(AA$61,12,31),$C$56)-MAX(Inputs!$C$5+1,DATE(AA$61,1,1))+1)/365,IF(AA$61&lt;=$C$57,(DATE(AA$61,12,31)-MAX(Inputs!$C$5+1,DATE(AA$61,1,1))+1)/365,0))</f>
        <v>0</v>
      </c>
      <c r="AB62" s="37" t="n">
        <f aca="false">IF($C$55=1,MAX(0,MIN(DATE(AB$61,12,31),$C$56)-MAX(Inputs!$C$5+1,DATE(AB$61,1,1))+1)/365,IF(AB$61&lt;=$C$57,(DATE(AB$61,12,31)-MAX(Inputs!$C$5+1,DATE(AB$61,1,1))+1)/365,0))</f>
        <v>0</v>
      </c>
      <c r="AC62" s="37" t="n">
        <f aca="false">IF($C$55=1,MAX(0,MIN(DATE(AC$61,12,31),$C$56)-MAX(Inputs!$C$5+1,DATE(AC$61,1,1))+1)/365,IF(AC$61&lt;=$C$57,(DATE(AC$61,12,31)-MAX(Inputs!$C$5+1,DATE(AC$61,1,1))+1)/365,0))</f>
        <v>0</v>
      </c>
      <c r="AD62" s="37" t="n">
        <f aca="false">IF($C$55=1,MAX(0,MIN(DATE(AD$61,12,31),$C$56)-MAX(Inputs!$C$5+1,DATE(AD$61,1,1))+1)/365,IF(AD$61&lt;=$C$57,(DATE(AD$61,12,31)-MAX(Inputs!$C$5+1,DATE(AD$61,1,1))+1)/365,0))</f>
        <v>0</v>
      </c>
      <c r="AE62" s="37" t="n">
        <f aca="false">IF($C$55=1,MAX(0,MIN(DATE(AE$61,12,31),$C$56)-MAX(Inputs!$C$5+1,DATE(AE$61,1,1))+1)/365,IF(AE$61&lt;=$C$57,(DATE(AE$61,12,31)-MAX(Inputs!$C$5+1,DATE(AE$61,1,1))+1)/365,0))</f>
        <v>0</v>
      </c>
      <c r="AF62" s="37" t="n">
        <f aca="false">IF($C$55=1,MAX(0,MIN(DATE(AF$61,12,31),$C$56)-MAX(Inputs!$C$5+1,DATE(AF$61,1,1))+1)/365,IF(AF$61&lt;=$C$57,(DATE(AF$61,12,31)-MAX(Inputs!$C$5+1,DATE(AF$61,1,1))+1)/365,0))</f>
        <v>0</v>
      </c>
      <c r="AG62" s="37" t="n">
        <f aca="false">IF($C$55=1,MAX(0,MIN(DATE(AG$61,12,31),$C$56)-MAX(Inputs!$C$5+1,DATE(AG$61,1,1))+1)/365,IF(AG$61&lt;=$C$57,(DATE(AG$61,12,31)-MAX(Inputs!$C$5+1,DATE(AG$61,1,1))+1)/365,0))</f>
        <v>0</v>
      </c>
      <c r="AH62" s="37" t="n">
        <f aca="false">IF($C$55=1,MAX(0,MIN(DATE(AH$61,12,31),$C$56)-MAX(Inputs!$C$5+1,DATE(AH$61,1,1))+1)/365,IF(AH$61&lt;=$C$57,(DATE(AH$61,12,31)-MAX(Inputs!$C$5+1,DATE(AH$61,1,1))+1)/365,0))</f>
        <v>0</v>
      </c>
      <c r="AI62" s="37" t="n">
        <f aca="false">IF($C$55=1,MAX(0,MIN(DATE(AI$61,12,31),$C$56)-MAX(Inputs!$C$5+1,DATE(AI$61,1,1))+1)/365,IF(AI$61&lt;=$C$57,(DATE(AI$61,12,31)-MAX(Inputs!$C$5+1,DATE(AI$61,1,1))+1)/365,0))</f>
        <v>0</v>
      </c>
      <c r="AJ62" s="37" t="n">
        <f aca="false">IF($C$55=1,MAX(0,MIN(DATE(AJ$61,12,31),$C$56)-MAX(Inputs!$C$5+1,DATE(AJ$61,1,1))+1)/365,IF(AJ$61&lt;=$C$57,(DATE(AJ$61,12,31)-MAX(Inputs!$C$5+1,DATE(AJ$61,1,1))+1)/365,0))</f>
        <v>0</v>
      </c>
      <c r="AK62" s="37" t="n">
        <f aca="false">IF($C$55=1,MAX(0,MIN(DATE(AK$61,12,31),$C$56)-MAX(Inputs!$C$5+1,DATE(AK$61,1,1))+1)/365,IF(AK$61&lt;=$C$57,(DATE(AK$61,12,31)-MAX(Inputs!$C$5+1,DATE(AK$61,1,1))+1)/365,0))</f>
        <v>0</v>
      </c>
      <c r="AL62" s="37" t="n">
        <f aca="false">IF($C$55=1,MAX(0,MIN(DATE(AL$61,12,31),$C$56)-MAX(Inputs!$C$5+1,DATE(AL$61,1,1))+1)/365,IF(AL$61&lt;=$C$57,(DATE(AL$61,12,31)-MAX(Inputs!$C$5+1,DATE(AL$61,1,1))+1)/365,0))</f>
        <v>0</v>
      </c>
      <c r="AM62" s="37" t="n">
        <f aca="false">IF($C$55=1,MAX(0,MIN(DATE(AM$61,12,31),$C$56)-MAX(Inputs!$C$5+1,DATE(AM$61,1,1))+1)/365,IF(AM$61&lt;=$C$57,(DATE(AM$61,12,31)-MAX(Inputs!$C$5+1,DATE(AM$61,1,1))+1)/365,0))</f>
        <v>0</v>
      </c>
      <c r="AN62" s="37" t="n">
        <f aca="false">IF($C$55=1,MAX(0,MIN(DATE(AN$61,12,31),$C$56)-MAX(Inputs!$C$5+1,DATE(AN$61,1,1))+1)/365,IF(AN$61&lt;=$C$57,(DATE(AN$61,12,31)-MAX(Inputs!$C$5+1,DATE(AN$61,1,1))+1)/365,0))</f>
        <v>0</v>
      </c>
      <c r="AO62" s="37" t="n">
        <f aca="false">IF($C$55=1,MAX(0,MIN(DATE(AO$61,12,31),$C$56)-MAX(Inputs!$C$5+1,DATE(AO$61,1,1))+1)/365,IF(AO$61&lt;=$C$57,(DATE(AO$61,12,31)-MAX(Inputs!$C$5+1,DATE(AO$61,1,1))+1)/365,0))</f>
        <v>0</v>
      </c>
      <c r="AP62" s="37" t="n">
        <f aca="false">IF($C$55=1,MAX(0,MIN(DATE(AP$61,12,31),$C$56)-MAX(Inputs!$C$5+1,DATE(AP$61,1,1))+1)/365,IF(AP$61&lt;=$C$57,(DATE(AP$61,12,31)-MAX(Inputs!$C$5+1,DATE(AP$61,1,1))+1)/365,0))</f>
        <v>0</v>
      </c>
      <c r="AQ62" s="37" t="n">
        <f aca="false">IF($C$55=1,MAX(0,MIN(DATE(AQ$61,12,31),$C$56)-MAX(Inputs!$C$5+1,DATE(AQ$61,1,1))+1)/365,IF(AQ$61&lt;=$C$57,(DATE(AQ$61,12,31)-MAX(Inputs!$C$5+1,DATE(AQ$61,1,1))+1)/365,0))</f>
        <v>0</v>
      </c>
      <c r="AR62" s="37" t="n">
        <f aca="false">IF($C$55=1,MAX(0,MIN(DATE(AR$61,12,31),$C$56)-MAX(Inputs!$C$5+1,DATE(AR$61,1,1))+1)/365,IF(AR$61&lt;=$C$57,(DATE(AR$61,12,31)-MAX(Inputs!$C$5+1,DATE(AR$61,1,1))+1)/365,0))</f>
        <v>0</v>
      </c>
      <c r="AS62" s="37" t="n">
        <f aca="false">IF($C$55=1,MAX(0,MIN(DATE(AS$61,12,31),$C$56)-MAX(Inputs!$C$5+1,DATE(AS$61,1,1))+1)/365,IF(AS$61&lt;=$C$57,(DATE(AS$61,12,31)-MAX(Inputs!$C$5+1,DATE(AS$61,1,1))+1)/365,0))</f>
        <v>0</v>
      </c>
      <c r="AT62" s="37" t="n">
        <f aca="false">IF($C$55=1,MAX(0,MIN(DATE(AT$61,12,31),$C$56)-MAX(Inputs!$C$5+1,DATE(AT$61,1,1))+1)/365,IF(AT$61&lt;=$C$57,(DATE(AT$61,12,31)-MAX(Inputs!$C$5+1,DATE(AT$61,1,1))+1)/365,0))</f>
        <v>0</v>
      </c>
      <c r="AU62" s="37" t="n">
        <f aca="false">IF($C$55=1,MAX(0,MIN(DATE(AU$61,12,31),$C$56)-MAX(Inputs!$C$5+1,DATE(AU$61,1,1))+1)/365,IF(AU$61&lt;=$C$57,(DATE(AU$61,12,31)-MAX(Inputs!$C$5+1,DATE(AU$61,1,1))+1)/365,0))</f>
        <v>0</v>
      </c>
      <c r="AV62" s="37" t="n">
        <f aca="false">IF($C$55=1,MAX(0,MIN(DATE(AV$61,12,31),$C$56)-MAX(Inputs!$C$5+1,DATE(AV$61,1,1))+1)/365,IF(AV$61&lt;=$C$57,(DATE(AV$61,12,31)-MAX(Inputs!$C$5+1,DATE(AV$61,1,1))+1)/365,0))</f>
        <v>0</v>
      </c>
    </row>
    <row r="63" customFormat="false" ht="15" hidden="false" customHeight="false" outlineLevel="0" collapsed="false">
      <c r="B63" s="7" t="s">
        <v>138</v>
      </c>
      <c r="D63" s="16" t="n">
        <f aca="false">$C$47*(1+$C$48)</f>
        <v>954.273</v>
      </c>
      <c r="E63" s="16" t="n">
        <f aca="false">D63*(1+$C$49)</f>
        <v>974.312733</v>
      </c>
      <c r="F63" s="16" t="n">
        <f aca="false">E63*(1+$C$49)</f>
        <v>994.773300393</v>
      </c>
      <c r="G63" s="16" t="n">
        <f aca="false">F63*(1+$C$49)</f>
        <v>1015.66353970125</v>
      </c>
      <c r="H63" s="16" t="n">
        <f aca="false">G63*(1+$C$49)</f>
        <v>1036.99247403498</v>
      </c>
      <c r="I63" s="16" t="n">
        <f aca="false">H63*(1+$C$49)</f>
        <v>1058.76931598971</v>
      </c>
      <c r="J63" s="16" t="n">
        <f aca="false">I63*(1+$C$49)</f>
        <v>1081.0034716255</v>
      </c>
      <c r="K63" s="16" t="n">
        <f aca="false">J63*(1+$C$49)</f>
        <v>1103.70454452963</v>
      </c>
      <c r="L63" s="16" t="n">
        <f aca="false">K63*(1+$C$49)</f>
        <v>1126.88233996476</v>
      </c>
      <c r="M63" s="16" t="n">
        <f aca="false">L63*(1+$C$49)</f>
        <v>1150.54686910401</v>
      </c>
      <c r="N63" s="16" t="n">
        <f aca="false">M63*(1+$C$49)</f>
        <v>1174.7083533552</v>
      </c>
      <c r="O63" s="16" t="n">
        <f aca="false">N63*(1+$C$49)</f>
        <v>1199.37722877566</v>
      </c>
      <c r="P63" s="16" t="n">
        <f aca="false">O63*(1+$C$49)</f>
        <v>1224.56415057995</v>
      </c>
      <c r="Q63" s="16" t="n">
        <f aca="false">P63*(1+$C$49)</f>
        <v>1250.27999774213</v>
      </c>
      <c r="R63" s="16" t="n">
        <f aca="false">Q63*(1+$C$49)</f>
        <v>1276.53587769471</v>
      </c>
      <c r="S63" s="16" t="n">
        <f aca="false">R63*(1+$C$49)</f>
        <v>1303.3431311263</v>
      </c>
      <c r="T63" s="16" t="n">
        <f aca="false">S63*(1+$C$49)</f>
        <v>1330.71333687995</v>
      </c>
      <c r="U63" s="16" t="n">
        <f aca="false">T63*(1+$C$49)</f>
        <v>1358.65831695443</v>
      </c>
      <c r="V63" s="16" t="n">
        <f aca="false">U63*(1+$C$49)</f>
        <v>1387.19014161047</v>
      </c>
      <c r="W63" s="16" t="n">
        <f aca="false">V63*(1+$C$49)</f>
        <v>1416.32113458429</v>
      </c>
      <c r="X63" s="16" t="n">
        <f aca="false">W63*(1+$C$49)</f>
        <v>1446.06387841056</v>
      </c>
      <c r="Y63" s="16" t="n">
        <f aca="false">X63*(1+$C$49)</f>
        <v>1476.43121985718</v>
      </c>
      <c r="Z63" s="16" t="n">
        <f aca="false">Y63*(1+$C$49)</f>
        <v>1507.43627547418</v>
      </c>
      <c r="AA63" s="16" t="n">
        <f aca="false">Z63*(1+$C$49)</f>
        <v>1539.09243725914</v>
      </c>
      <c r="AB63" s="16" t="n">
        <f aca="false">AA63*(1+$C$49)</f>
        <v>1571.41337844158</v>
      </c>
      <c r="AC63" s="16" t="n">
        <f aca="false">AB63*(1+$C$49)</f>
        <v>1604.41305938886</v>
      </c>
      <c r="AD63" s="16" t="n">
        <f aca="false">AC63*(1+$C$49)</f>
        <v>1638.10573363602</v>
      </c>
      <c r="AE63" s="16" t="n">
        <f aca="false">AD63*(1+$C$49)</f>
        <v>1672.50595404238</v>
      </c>
      <c r="AF63" s="16" t="n">
        <f aca="false">AE63*(1+$C$49)</f>
        <v>1707.62857907727</v>
      </c>
      <c r="AG63" s="16" t="n">
        <f aca="false">AF63*(1+$C$49)</f>
        <v>1743.48877923789</v>
      </c>
      <c r="AH63" s="16" t="n">
        <f aca="false">AG63*(1+$C$49)</f>
        <v>1780.10204360189</v>
      </c>
      <c r="AI63" s="16" t="n">
        <f aca="false">AH63*(1+$C$49)</f>
        <v>1817.48418651753</v>
      </c>
      <c r="AJ63" s="16" t="n">
        <f aca="false">AI63*(1+$C$49)</f>
        <v>1855.65135443439</v>
      </c>
      <c r="AK63" s="16" t="n">
        <f aca="false">AJ63*(1+$C$49)</f>
        <v>1894.62003287752</v>
      </c>
      <c r="AL63" s="16" t="n">
        <f aca="false">AK63*(1+$C$49)</f>
        <v>1934.40705356794</v>
      </c>
      <c r="AM63" s="16" t="n">
        <f aca="false">AL63*(1+$C$49)</f>
        <v>1975.02960169287</v>
      </c>
      <c r="AN63" s="16" t="n">
        <f aca="false">AM63*(1+$C$49)</f>
        <v>2016.50522332842</v>
      </c>
      <c r="AO63" s="16" t="n">
        <f aca="false">AN63*(1+$C$49)</f>
        <v>2058.85183301832</v>
      </c>
      <c r="AP63" s="16" t="n">
        <f aca="false">AO63*(1+$C$49)</f>
        <v>2102.0877215117</v>
      </c>
      <c r="AQ63" s="16" t="n">
        <f aca="false">AP63*(1+$C$49)</f>
        <v>2146.23156366345</v>
      </c>
      <c r="AR63" s="16" t="n">
        <f aca="false">AQ63*(1+$C$49)</f>
        <v>2191.30242650038</v>
      </c>
      <c r="AS63" s="16" t="n">
        <f aca="false">AR63*(1+$C$49)</f>
        <v>2237.31977745689</v>
      </c>
      <c r="AT63" s="16" t="n">
        <f aca="false">AS63*(1+$C$49)</f>
        <v>2284.30349278348</v>
      </c>
      <c r="AU63" s="16" t="n">
        <f aca="false">AT63*(1+$C$49)</f>
        <v>2332.27386613194</v>
      </c>
      <c r="AV63" s="16" t="n">
        <f aca="false">AU63*(1+$C$49)</f>
        <v>2381.25161732071</v>
      </c>
    </row>
    <row r="64" customFormat="false" ht="15" hidden="false" customHeight="false" outlineLevel="0" collapsed="false">
      <c r="B64" s="7" t="s">
        <v>139</v>
      </c>
      <c r="D64" s="16" t="n">
        <f aca="false">D63*$C$50</f>
        <v>678.0109665</v>
      </c>
      <c r="E64" s="16" t="n">
        <f aca="false">E63*$C$50</f>
        <v>692.2491967965</v>
      </c>
      <c r="F64" s="16" t="n">
        <f aca="false">F63*$C$50</f>
        <v>706.786429929226</v>
      </c>
      <c r="G64" s="16" t="n">
        <f aca="false">G63*$C$50</f>
        <v>721.62894495774</v>
      </c>
      <c r="H64" s="16" t="n">
        <f aca="false">H63*$C$50</f>
        <v>736.783152801853</v>
      </c>
      <c r="I64" s="16" t="n">
        <f aca="false">I63*$C$50</f>
        <v>752.255599010691</v>
      </c>
      <c r="J64" s="16" t="n">
        <f aca="false">J63*$C$50</f>
        <v>768.052966589916</v>
      </c>
      <c r="K64" s="16" t="n">
        <f aca="false">K63*$C$50</f>
        <v>784.182078888304</v>
      </c>
      <c r="L64" s="16" t="n">
        <f aca="false">L63*$C$50</f>
        <v>800.649902544958</v>
      </c>
      <c r="M64" s="16" t="n">
        <f aca="false">M63*$C$50</f>
        <v>817.463550498402</v>
      </c>
      <c r="N64" s="16" t="n">
        <f aca="false">N63*$C$50</f>
        <v>834.630285058869</v>
      </c>
      <c r="O64" s="16" t="n">
        <f aca="false">O63*$C$50</f>
        <v>852.157521045105</v>
      </c>
      <c r="P64" s="16" t="n">
        <f aca="false">P63*$C$50</f>
        <v>870.052828987052</v>
      </c>
      <c r="Q64" s="16" t="n">
        <f aca="false">Q63*$C$50</f>
        <v>888.32393839578</v>
      </c>
      <c r="R64" s="16" t="n">
        <f aca="false">R63*$C$50</f>
        <v>906.978741102091</v>
      </c>
      <c r="S64" s="16" t="n">
        <f aca="false">S63*$C$50</f>
        <v>926.025294665235</v>
      </c>
      <c r="T64" s="16" t="n">
        <f aca="false">T63*$C$50</f>
        <v>945.471825853205</v>
      </c>
      <c r="U64" s="16" t="n">
        <f aca="false">U63*$C$50</f>
        <v>965.326734196122</v>
      </c>
      <c r="V64" s="16" t="n">
        <f aca="false">V63*$C$50</f>
        <v>985.598595614241</v>
      </c>
      <c r="W64" s="16" t="n">
        <f aca="false">W63*$C$50</f>
        <v>1006.29616612214</v>
      </c>
      <c r="X64" s="16" t="n">
        <f aca="false">X63*$C$50</f>
        <v>1027.4283856107</v>
      </c>
      <c r="Y64" s="16" t="n">
        <f aca="false">Y63*$C$50</f>
        <v>1049.00438170853</v>
      </c>
      <c r="Z64" s="16" t="n">
        <f aca="false">Z63*$C$50</f>
        <v>1071.03347372441</v>
      </c>
      <c r="AA64" s="16" t="n">
        <f aca="false">AA63*$C$50</f>
        <v>1093.52517667262</v>
      </c>
      <c r="AB64" s="16" t="n">
        <f aca="false">AB63*$C$50</f>
        <v>1116.48920538275</v>
      </c>
      <c r="AC64" s="16" t="n">
        <f aca="false">AC63*$C$50</f>
        <v>1139.93547869578</v>
      </c>
      <c r="AD64" s="16" t="n">
        <f aca="false">AD63*$C$50</f>
        <v>1163.87412374839</v>
      </c>
      <c r="AE64" s="16" t="n">
        <f aca="false">AE63*$C$50</f>
        <v>1188.31548034711</v>
      </c>
      <c r="AF64" s="16" t="n">
        <f aca="false">AF63*$C$50</f>
        <v>1213.2701054344</v>
      </c>
      <c r="AG64" s="16" t="n">
        <f aca="false">AG63*$C$50</f>
        <v>1238.74877764852</v>
      </c>
      <c r="AH64" s="16" t="n">
        <f aca="false">AH63*$C$50</f>
        <v>1264.76250197914</v>
      </c>
      <c r="AI64" s="16" t="n">
        <f aca="false">AI63*$C$50</f>
        <v>1291.3225145207</v>
      </c>
      <c r="AJ64" s="16" t="n">
        <f aca="false">AJ63*$C$50</f>
        <v>1318.44028732564</v>
      </c>
      <c r="AK64" s="16" t="n">
        <f aca="false">AK63*$C$50</f>
        <v>1346.12753335948</v>
      </c>
      <c r="AL64" s="16" t="n">
        <f aca="false">AL63*$C$50</f>
        <v>1374.39621156002</v>
      </c>
      <c r="AM64" s="16" t="n">
        <f aca="false">AM63*$C$50</f>
        <v>1403.25853200279</v>
      </c>
      <c r="AN64" s="16" t="n">
        <f aca="false">AN63*$C$50</f>
        <v>1432.72696117484</v>
      </c>
      <c r="AO64" s="16" t="n">
        <f aca="false">AO63*$C$50</f>
        <v>1462.81422735952</v>
      </c>
      <c r="AP64" s="16" t="n">
        <f aca="false">AP63*$C$50</f>
        <v>1493.53332613406</v>
      </c>
      <c r="AQ64" s="16" t="n">
        <f aca="false">AQ63*$C$50</f>
        <v>1524.89752598288</v>
      </c>
      <c r="AR64" s="16" t="n">
        <f aca="false">AR63*$C$50</f>
        <v>1556.92037402852</v>
      </c>
      <c r="AS64" s="16" t="n">
        <f aca="false">AS63*$C$50</f>
        <v>1589.61570188312</v>
      </c>
      <c r="AT64" s="16" t="n">
        <f aca="false">AT63*$C$50</f>
        <v>1622.99763162266</v>
      </c>
      <c r="AU64" s="16" t="n">
        <f aca="false">AU63*$C$50</f>
        <v>1657.08058188674</v>
      </c>
      <c r="AV64" s="16" t="n">
        <f aca="false">AV63*$C$50</f>
        <v>1691.87927410636</v>
      </c>
    </row>
    <row r="65" customFormat="false" ht="15" hidden="false" customHeight="false" outlineLevel="0" collapsed="false">
      <c r="B65" s="7" t="s">
        <v>140</v>
      </c>
      <c r="D65" s="16" t="n">
        <f aca="false">-D63*$C$51</f>
        <v>-212.9937336</v>
      </c>
      <c r="E65" s="16" t="n">
        <f aca="false">-E63*$C$51</f>
        <v>-217.4666020056</v>
      </c>
      <c r="F65" s="16" t="n">
        <f aca="false">-F63*$C$51</f>
        <v>-222.033400647718</v>
      </c>
      <c r="G65" s="16" t="n">
        <f aca="false">-G63*$C$51</f>
        <v>-226.69610206132</v>
      </c>
      <c r="H65" s="16" t="n">
        <f aca="false">-H63*$C$51</f>
        <v>-231.456720204607</v>
      </c>
      <c r="I65" s="16" t="n">
        <f aca="false">-I63*$C$51</f>
        <v>-236.317311328904</v>
      </c>
      <c r="J65" s="16" t="n">
        <f aca="false">-J63*$C$51</f>
        <v>-241.279974866811</v>
      </c>
      <c r="K65" s="16" t="n">
        <f aca="false">-K63*$C$51</f>
        <v>-246.346854339014</v>
      </c>
      <c r="L65" s="16" t="n">
        <f aca="false">-L63*$C$51</f>
        <v>-251.520138280133</v>
      </c>
      <c r="M65" s="16" t="n">
        <f aca="false">-M63*$C$51</f>
        <v>-256.802061184016</v>
      </c>
      <c r="N65" s="16" t="n">
        <f aca="false">-N63*$C$51</f>
        <v>-262.19490446888</v>
      </c>
      <c r="O65" s="16" t="n">
        <f aca="false">-O63*$C$51</f>
        <v>-267.700997462727</v>
      </c>
      <c r="P65" s="16" t="n">
        <f aca="false">-P63*$C$51</f>
        <v>-273.322718409444</v>
      </c>
      <c r="Q65" s="16" t="n">
        <f aca="false">-Q63*$C$51</f>
        <v>-279.062495496042</v>
      </c>
      <c r="R65" s="16" t="n">
        <f aca="false">-R63*$C$51</f>
        <v>-284.922807901459</v>
      </c>
      <c r="S65" s="16" t="n">
        <f aca="false">-S63*$C$51</f>
        <v>-290.90618686739</v>
      </c>
      <c r="T65" s="16" t="n">
        <f aca="false">-T63*$C$51</f>
        <v>-297.015216791605</v>
      </c>
      <c r="U65" s="16" t="n">
        <f aca="false">-U63*$C$51</f>
        <v>-303.252536344229</v>
      </c>
      <c r="V65" s="16" t="n">
        <f aca="false">-V63*$C$51</f>
        <v>-309.620839607457</v>
      </c>
      <c r="W65" s="16" t="n">
        <f aca="false">-W63*$C$51</f>
        <v>-316.122877239214</v>
      </c>
      <c r="X65" s="16" t="n">
        <f aca="false">-X63*$C$51</f>
        <v>-322.761457661238</v>
      </c>
      <c r="Y65" s="16" t="n">
        <f aca="false">-Y63*$C$51</f>
        <v>-329.539448272123</v>
      </c>
      <c r="Z65" s="16" t="n">
        <f aca="false">-Z63*$C$51</f>
        <v>-336.459776685838</v>
      </c>
      <c r="AA65" s="16" t="n">
        <f aca="false">-AA63*$C$51</f>
        <v>-343.525431996241</v>
      </c>
      <c r="AB65" s="16" t="n">
        <f aca="false">-AB63*$C$51</f>
        <v>-350.739466068162</v>
      </c>
      <c r="AC65" s="16" t="n">
        <f aca="false">-AC63*$C$51</f>
        <v>-358.104994855593</v>
      </c>
      <c r="AD65" s="16" t="n">
        <f aca="false">-AD63*$C$51</f>
        <v>-365.62519974756</v>
      </c>
      <c r="AE65" s="16" t="n">
        <f aca="false">-AE63*$C$51</f>
        <v>-373.303328942259</v>
      </c>
      <c r="AF65" s="16" t="n">
        <f aca="false">-AF63*$C$51</f>
        <v>-381.142698850047</v>
      </c>
      <c r="AG65" s="16" t="n">
        <f aca="false">-AG63*$C$51</f>
        <v>-389.146695525898</v>
      </c>
      <c r="AH65" s="16" t="n">
        <f aca="false">-AH63*$C$51</f>
        <v>-397.318776131941</v>
      </c>
      <c r="AI65" s="16" t="n">
        <f aca="false">-AI63*$C$51</f>
        <v>-405.662470430712</v>
      </c>
      <c r="AJ65" s="16" t="n">
        <f aca="false">-AJ63*$C$51</f>
        <v>-414.181382309757</v>
      </c>
      <c r="AK65" s="16" t="n">
        <f aca="false">-AK63*$C$51</f>
        <v>-422.879191338262</v>
      </c>
      <c r="AL65" s="16" t="n">
        <f aca="false">-AL63*$C$51</f>
        <v>-431.759654356365</v>
      </c>
      <c r="AM65" s="16" t="n">
        <f aca="false">-AM63*$C$51</f>
        <v>-440.826607097849</v>
      </c>
      <c r="AN65" s="16" t="n">
        <f aca="false">-AN63*$C$51</f>
        <v>-450.083965846904</v>
      </c>
      <c r="AO65" s="16" t="n">
        <f aca="false">-AO63*$C$51</f>
        <v>-459.535729129689</v>
      </c>
      <c r="AP65" s="16" t="n">
        <f aca="false">-AP63*$C$51</f>
        <v>-469.185979441412</v>
      </c>
      <c r="AQ65" s="16" t="n">
        <f aca="false">-AQ63*$C$51</f>
        <v>-479.038885009682</v>
      </c>
      <c r="AR65" s="16" t="n">
        <f aca="false">-AR63*$C$51</f>
        <v>-489.098701594885</v>
      </c>
      <c r="AS65" s="16" t="n">
        <f aca="false">-AS63*$C$51</f>
        <v>-499.369774328377</v>
      </c>
      <c r="AT65" s="16" t="n">
        <f aca="false">-AT63*$C$51</f>
        <v>-509.856539589273</v>
      </c>
      <c r="AU65" s="16" t="n">
        <f aca="false">-AU63*$C$51</f>
        <v>-520.563526920648</v>
      </c>
      <c r="AV65" s="16" t="n">
        <f aca="false">-AV63*$C$51</f>
        <v>-531.495360985982</v>
      </c>
    </row>
    <row r="66" customFormat="false" ht="15" hidden="false" customHeight="false" outlineLevel="0" collapsed="false">
      <c r="B66" s="7" t="s">
        <v>141</v>
      </c>
      <c r="D66" s="16" t="n">
        <f aca="false">D64+D65</f>
        <v>465.0172329</v>
      </c>
      <c r="E66" s="16" t="n">
        <f aca="false">E64+E65</f>
        <v>474.7825947909</v>
      </c>
      <c r="F66" s="16" t="n">
        <f aca="false">F64+F65</f>
        <v>484.753029281509</v>
      </c>
      <c r="G66" s="16" t="n">
        <f aca="false">G64+G65</f>
        <v>494.932842896421</v>
      </c>
      <c r="H66" s="16" t="n">
        <f aca="false">H64+H65</f>
        <v>505.326432597245</v>
      </c>
      <c r="I66" s="16" t="n">
        <f aca="false">I64+I65</f>
        <v>515.938287681787</v>
      </c>
      <c r="J66" s="16" t="n">
        <f aca="false">J64+J65</f>
        <v>526.772991723105</v>
      </c>
      <c r="K66" s="16" t="n">
        <f aca="false">K64+K65</f>
        <v>537.83522454929</v>
      </c>
      <c r="L66" s="16" t="n">
        <f aca="false">L64+L65</f>
        <v>549.129764264825</v>
      </c>
      <c r="M66" s="16" t="n">
        <f aca="false">M64+M65</f>
        <v>560.661489314386</v>
      </c>
      <c r="N66" s="16" t="n">
        <f aca="false">N64+N65</f>
        <v>572.435380589988</v>
      </c>
      <c r="O66" s="16" t="n">
        <f aca="false">O64+O65</f>
        <v>584.456523582378</v>
      </c>
      <c r="P66" s="16" t="n">
        <f aca="false">P64+P65</f>
        <v>596.730110577608</v>
      </c>
      <c r="Q66" s="16" t="n">
        <f aca="false">Q64+Q65</f>
        <v>609.261442899738</v>
      </c>
      <c r="R66" s="16" t="n">
        <f aca="false">R64+R65</f>
        <v>622.055933200632</v>
      </c>
      <c r="S66" s="16" t="n">
        <f aca="false">S64+S65</f>
        <v>635.119107797845</v>
      </c>
      <c r="T66" s="16" t="n">
        <f aca="false">T64+T65</f>
        <v>648.4566090616</v>
      </c>
      <c r="U66" s="16" t="n">
        <f aca="false">U64+U65</f>
        <v>662.074197851894</v>
      </c>
      <c r="V66" s="16" t="n">
        <f aca="false">V64+V65</f>
        <v>675.977756006783</v>
      </c>
      <c r="W66" s="16" t="n">
        <f aca="false">W64+W65</f>
        <v>690.173288882926</v>
      </c>
      <c r="X66" s="16" t="n">
        <f aca="false">X64+X65</f>
        <v>704.666927949467</v>
      </c>
      <c r="Y66" s="16" t="n">
        <f aca="false">Y64+Y65</f>
        <v>719.464933436406</v>
      </c>
      <c r="Z66" s="16" t="n">
        <f aca="false">Z64+Z65</f>
        <v>734.57369703857</v>
      </c>
      <c r="AA66" s="16" t="n">
        <f aca="false">AA64+AA65</f>
        <v>749.99974467638</v>
      </c>
      <c r="AB66" s="16" t="n">
        <f aca="false">AB64+AB65</f>
        <v>765.749739314584</v>
      </c>
      <c r="AC66" s="16" t="n">
        <f aca="false">AC64+AC65</f>
        <v>781.83048384019</v>
      </c>
      <c r="AD66" s="16" t="n">
        <f aca="false">AD64+AD65</f>
        <v>798.248924000834</v>
      </c>
      <c r="AE66" s="16" t="n">
        <f aca="false">AE64+AE65</f>
        <v>815.012151404852</v>
      </c>
      <c r="AF66" s="16" t="n">
        <f aca="false">AF64+AF65</f>
        <v>832.127406584353</v>
      </c>
      <c r="AG66" s="16" t="n">
        <f aca="false">AG64+AG65</f>
        <v>849.602082122625</v>
      </c>
      <c r="AH66" s="16" t="n">
        <f aca="false">AH64+AH65</f>
        <v>867.4437258472</v>
      </c>
      <c r="AI66" s="16" t="n">
        <f aca="false">AI64+AI65</f>
        <v>885.660044089991</v>
      </c>
      <c r="AJ66" s="16" t="n">
        <f aca="false">AJ64+AJ65</f>
        <v>904.258905015881</v>
      </c>
      <c r="AK66" s="16" t="n">
        <f aca="false">AK64+AK65</f>
        <v>923.248342021214</v>
      </c>
      <c r="AL66" s="16" t="n">
        <f aca="false">AL64+AL65</f>
        <v>942.636557203659</v>
      </c>
      <c r="AM66" s="16" t="n">
        <f aca="false">AM64+AM65</f>
        <v>962.431924904936</v>
      </c>
      <c r="AN66" s="16" t="n">
        <f aca="false">AN64+AN65</f>
        <v>982.64299532794</v>
      </c>
      <c r="AO66" s="16" t="n">
        <f aca="false">AO64+AO65</f>
        <v>1003.27849822983</v>
      </c>
      <c r="AP66" s="16" t="n">
        <f aca="false">AP64+AP65</f>
        <v>1024.34734669265</v>
      </c>
      <c r="AQ66" s="16" t="n">
        <f aca="false">AQ64+AQ65</f>
        <v>1045.8586409732</v>
      </c>
      <c r="AR66" s="16" t="n">
        <f aca="false">AR64+AR65</f>
        <v>1067.82167243364</v>
      </c>
      <c r="AS66" s="16" t="n">
        <f aca="false">AS64+AS65</f>
        <v>1090.24592755474</v>
      </c>
      <c r="AT66" s="16" t="n">
        <f aca="false">AT64+AT65</f>
        <v>1113.14109203339</v>
      </c>
      <c r="AU66" s="16" t="n">
        <f aca="false">AU64+AU65</f>
        <v>1136.51705496609</v>
      </c>
      <c r="AV66" s="16" t="n">
        <f aca="false">AV64+AV65</f>
        <v>1160.38391312038</v>
      </c>
    </row>
    <row r="67" customFormat="false" ht="15" hidden="false" customHeight="false" outlineLevel="0" collapsed="false">
      <c r="B67" s="7" t="s">
        <v>142</v>
      </c>
      <c r="D67" s="8" t="n">
        <f aca="false">IF(D$61=2026,Inputs!$C$10,Inputs!$C$11)</f>
        <v>0.348</v>
      </c>
      <c r="E67" s="8" t="n">
        <f aca="false">IF(E$61=2026,Inputs!$C$10,Inputs!$C$11)</f>
        <v>0.258</v>
      </c>
      <c r="F67" s="8" t="n">
        <f aca="false">IF(F$61=2026,Inputs!$C$10,Inputs!$C$11)</f>
        <v>0.258</v>
      </c>
      <c r="G67" s="8" t="n">
        <f aca="false">IF(G$61=2026,Inputs!$C$10,Inputs!$C$11)</f>
        <v>0.258</v>
      </c>
      <c r="H67" s="8" t="n">
        <f aca="false">IF(H$61=2026,Inputs!$C$10,Inputs!$C$11)</f>
        <v>0.258</v>
      </c>
      <c r="I67" s="8" t="n">
        <f aca="false">IF(I$61=2026,Inputs!$C$10,Inputs!$C$11)</f>
        <v>0.258</v>
      </c>
      <c r="J67" s="8" t="n">
        <f aca="false">IF(J$61=2026,Inputs!$C$10,Inputs!$C$11)</f>
        <v>0.258</v>
      </c>
      <c r="K67" s="8" t="n">
        <f aca="false">IF(K$61=2026,Inputs!$C$10,Inputs!$C$11)</f>
        <v>0.258</v>
      </c>
      <c r="L67" s="8" t="n">
        <f aca="false">IF(L$61=2026,Inputs!$C$10,Inputs!$C$11)</f>
        <v>0.258</v>
      </c>
      <c r="M67" s="8" t="n">
        <f aca="false">IF(M$61=2026,Inputs!$C$10,Inputs!$C$11)</f>
        <v>0.258</v>
      </c>
      <c r="N67" s="8" t="n">
        <f aca="false">IF(N$61=2026,Inputs!$C$10,Inputs!$C$11)</f>
        <v>0.258</v>
      </c>
      <c r="O67" s="8" t="n">
        <f aca="false">IF(O$61=2026,Inputs!$C$10,Inputs!$C$11)</f>
        <v>0.258</v>
      </c>
      <c r="P67" s="8" t="n">
        <f aca="false">IF(P$61=2026,Inputs!$C$10,Inputs!$C$11)</f>
        <v>0.258</v>
      </c>
      <c r="Q67" s="8" t="n">
        <f aca="false">IF(Q$61=2026,Inputs!$C$10,Inputs!$C$11)</f>
        <v>0.258</v>
      </c>
      <c r="R67" s="8" t="n">
        <f aca="false">IF(R$61=2026,Inputs!$C$10,Inputs!$C$11)</f>
        <v>0.258</v>
      </c>
      <c r="S67" s="8" t="n">
        <f aca="false">IF(S$61=2026,Inputs!$C$10,Inputs!$C$11)</f>
        <v>0.258</v>
      </c>
      <c r="T67" s="8" t="n">
        <f aca="false">IF(T$61=2026,Inputs!$C$10,Inputs!$C$11)</f>
        <v>0.258</v>
      </c>
      <c r="U67" s="8" t="n">
        <f aca="false">IF(U$61=2026,Inputs!$C$10,Inputs!$C$11)</f>
        <v>0.258</v>
      </c>
      <c r="V67" s="8" t="n">
        <f aca="false">IF(V$61=2026,Inputs!$C$10,Inputs!$C$11)</f>
        <v>0.258</v>
      </c>
      <c r="W67" s="8" t="n">
        <f aca="false">IF(W$61=2026,Inputs!$C$10,Inputs!$C$11)</f>
        <v>0.258</v>
      </c>
      <c r="X67" s="8" t="n">
        <f aca="false">IF(X$61=2026,Inputs!$C$10,Inputs!$C$11)</f>
        <v>0.258</v>
      </c>
      <c r="Y67" s="8" t="n">
        <f aca="false">IF(Y$61=2026,Inputs!$C$10,Inputs!$C$11)</f>
        <v>0.258</v>
      </c>
      <c r="Z67" s="8" t="n">
        <f aca="false">IF(Z$61=2026,Inputs!$C$10,Inputs!$C$11)</f>
        <v>0.258</v>
      </c>
      <c r="AA67" s="8" t="n">
        <f aca="false">IF(AA$61=2026,Inputs!$C$10,Inputs!$C$11)</f>
        <v>0.258</v>
      </c>
      <c r="AB67" s="8" t="n">
        <f aca="false">IF(AB$61=2026,Inputs!$C$10,Inputs!$C$11)</f>
        <v>0.258</v>
      </c>
      <c r="AC67" s="8" t="n">
        <f aca="false">IF(AC$61=2026,Inputs!$C$10,Inputs!$C$11)</f>
        <v>0.258</v>
      </c>
      <c r="AD67" s="8" t="n">
        <f aca="false">IF(AD$61=2026,Inputs!$C$10,Inputs!$C$11)</f>
        <v>0.258</v>
      </c>
      <c r="AE67" s="8" t="n">
        <f aca="false">IF(AE$61=2026,Inputs!$C$10,Inputs!$C$11)</f>
        <v>0.258</v>
      </c>
      <c r="AF67" s="8" t="n">
        <f aca="false">IF(AF$61=2026,Inputs!$C$10,Inputs!$C$11)</f>
        <v>0.258</v>
      </c>
      <c r="AG67" s="8" t="n">
        <f aca="false">IF(AG$61=2026,Inputs!$C$10,Inputs!$C$11)</f>
        <v>0.258</v>
      </c>
      <c r="AH67" s="8" t="n">
        <f aca="false">IF(AH$61=2026,Inputs!$C$10,Inputs!$C$11)</f>
        <v>0.258</v>
      </c>
      <c r="AI67" s="8" t="n">
        <f aca="false">IF(AI$61=2026,Inputs!$C$10,Inputs!$C$11)</f>
        <v>0.258</v>
      </c>
      <c r="AJ67" s="8" t="n">
        <f aca="false">IF(AJ$61=2026,Inputs!$C$10,Inputs!$C$11)</f>
        <v>0.258</v>
      </c>
      <c r="AK67" s="8" t="n">
        <f aca="false">IF(AK$61=2026,Inputs!$C$10,Inputs!$C$11)</f>
        <v>0.258</v>
      </c>
      <c r="AL67" s="8" t="n">
        <f aca="false">IF(AL$61=2026,Inputs!$C$10,Inputs!$C$11)</f>
        <v>0.258</v>
      </c>
      <c r="AM67" s="8" t="n">
        <f aca="false">IF(AM$61=2026,Inputs!$C$10,Inputs!$C$11)</f>
        <v>0.258</v>
      </c>
      <c r="AN67" s="8" t="n">
        <f aca="false">IF(AN$61=2026,Inputs!$C$10,Inputs!$C$11)</f>
        <v>0.258</v>
      </c>
      <c r="AO67" s="8" t="n">
        <f aca="false">IF(AO$61=2026,Inputs!$C$10,Inputs!$C$11)</f>
        <v>0.258</v>
      </c>
      <c r="AP67" s="8" t="n">
        <f aca="false">IF(AP$61=2026,Inputs!$C$10,Inputs!$C$11)</f>
        <v>0.258</v>
      </c>
      <c r="AQ67" s="8" t="n">
        <f aca="false">IF(AQ$61=2026,Inputs!$C$10,Inputs!$C$11)</f>
        <v>0.258</v>
      </c>
      <c r="AR67" s="8" t="n">
        <f aca="false">IF(AR$61=2026,Inputs!$C$10,Inputs!$C$11)</f>
        <v>0.258</v>
      </c>
      <c r="AS67" s="8" t="n">
        <f aca="false">IF(AS$61=2026,Inputs!$C$10,Inputs!$C$11)</f>
        <v>0.258</v>
      </c>
      <c r="AT67" s="8" t="n">
        <f aca="false">IF(AT$61=2026,Inputs!$C$10,Inputs!$C$11)</f>
        <v>0.258</v>
      </c>
      <c r="AU67" s="8" t="n">
        <f aca="false">IF(AU$61=2026,Inputs!$C$10,Inputs!$C$11)</f>
        <v>0.258</v>
      </c>
      <c r="AV67" s="8" t="n">
        <f aca="false">IF(AV$61=2026,Inputs!$C$10,Inputs!$C$11)</f>
        <v>0.258</v>
      </c>
    </row>
    <row r="68" customFormat="false" ht="15" hidden="false" customHeight="false" outlineLevel="0" collapsed="false">
      <c r="B68" s="7" t="s">
        <v>143</v>
      </c>
      <c r="D68" s="16" t="n">
        <f aca="false">-MAX(0,D66)*D67</f>
        <v>-161.8259970492</v>
      </c>
      <c r="E68" s="16" t="n">
        <f aca="false">-MAX(0,E66)*E67</f>
        <v>-122.493909456052</v>
      </c>
      <c r="F68" s="16" t="n">
        <f aca="false">-MAX(0,F66)*F67</f>
        <v>-125.066281554629</v>
      </c>
      <c r="G68" s="16" t="n">
        <f aca="false">-MAX(0,G66)*G67</f>
        <v>-127.692673467277</v>
      </c>
      <c r="H68" s="16" t="n">
        <f aca="false">-MAX(0,H66)*H67</f>
        <v>-130.374219610089</v>
      </c>
      <c r="I68" s="16" t="n">
        <f aca="false">-MAX(0,I66)*I67</f>
        <v>-133.112078221901</v>
      </c>
      <c r="J68" s="16" t="n">
        <f aca="false">-MAX(0,J66)*J67</f>
        <v>-135.907431864561</v>
      </c>
      <c r="K68" s="16" t="n">
        <f aca="false">-MAX(0,K66)*K67</f>
        <v>-138.761487933717</v>
      </c>
      <c r="L68" s="16" t="n">
        <f aca="false">-MAX(0,L66)*L67</f>
        <v>-141.675479180325</v>
      </c>
      <c r="M68" s="16" t="n">
        <f aca="false">-MAX(0,M66)*M67</f>
        <v>-144.650664243112</v>
      </c>
      <c r="N68" s="16" t="n">
        <f aca="false">-MAX(0,N66)*N67</f>
        <v>-147.688328192217</v>
      </c>
      <c r="O68" s="16" t="n">
        <f aca="false">-MAX(0,O66)*O67</f>
        <v>-150.789783084254</v>
      </c>
      <c r="P68" s="16" t="n">
        <f aca="false">-MAX(0,P66)*P67</f>
        <v>-153.956368529023</v>
      </c>
      <c r="Q68" s="16" t="n">
        <f aca="false">-MAX(0,Q66)*Q67</f>
        <v>-157.189452268132</v>
      </c>
      <c r="R68" s="16" t="n">
        <f aca="false">-MAX(0,R66)*R67</f>
        <v>-160.490430765763</v>
      </c>
      <c r="S68" s="16" t="n">
        <f aca="false">-MAX(0,S66)*S67</f>
        <v>-163.860729811844</v>
      </c>
      <c r="T68" s="16" t="n">
        <f aca="false">-MAX(0,T66)*T67</f>
        <v>-167.301805137893</v>
      </c>
      <c r="U68" s="16" t="n">
        <f aca="false">-MAX(0,U66)*U67</f>
        <v>-170.815143045789</v>
      </c>
      <c r="V68" s="16" t="n">
        <f aca="false">-MAX(0,V66)*V67</f>
        <v>-174.40226104975</v>
      </c>
      <c r="W68" s="16" t="n">
        <f aca="false">-MAX(0,W66)*W67</f>
        <v>-178.064708531795</v>
      </c>
      <c r="X68" s="16" t="n">
        <f aca="false">-MAX(0,X66)*X67</f>
        <v>-181.804067410963</v>
      </c>
      <c r="Y68" s="16" t="n">
        <f aca="false">-MAX(0,Y66)*Y67</f>
        <v>-185.621952826593</v>
      </c>
      <c r="Z68" s="16" t="n">
        <f aca="false">-MAX(0,Z66)*Z67</f>
        <v>-189.520013835951</v>
      </c>
      <c r="AA68" s="16" t="n">
        <f aca="false">-MAX(0,AA66)*AA67</f>
        <v>-193.499934126506</v>
      </c>
      <c r="AB68" s="16" t="n">
        <f aca="false">-MAX(0,AB66)*AB67</f>
        <v>-197.563432743163</v>
      </c>
      <c r="AC68" s="16" t="n">
        <f aca="false">-MAX(0,AC66)*AC67</f>
        <v>-201.712264830769</v>
      </c>
      <c r="AD68" s="16" t="n">
        <f aca="false">-MAX(0,AD66)*AD67</f>
        <v>-205.948222392215</v>
      </c>
      <c r="AE68" s="16" t="n">
        <f aca="false">-MAX(0,AE66)*AE67</f>
        <v>-210.273135062452</v>
      </c>
      <c r="AF68" s="16" t="n">
        <f aca="false">-MAX(0,AF66)*AF67</f>
        <v>-214.688870898763</v>
      </c>
      <c r="AG68" s="16" t="n">
        <f aca="false">-MAX(0,AG66)*AG67</f>
        <v>-219.197337187637</v>
      </c>
      <c r="AH68" s="16" t="n">
        <f aca="false">-MAX(0,AH66)*AH67</f>
        <v>-223.800481268578</v>
      </c>
      <c r="AI68" s="16" t="n">
        <f aca="false">-MAX(0,AI66)*AI67</f>
        <v>-228.500291375218</v>
      </c>
      <c r="AJ68" s="16" t="n">
        <f aca="false">-MAX(0,AJ66)*AJ67</f>
        <v>-233.298797494097</v>
      </c>
      <c r="AK68" s="16" t="n">
        <f aca="false">-MAX(0,AK66)*AK67</f>
        <v>-238.198072241473</v>
      </c>
      <c r="AL68" s="16" t="n">
        <f aca="false">-MAX(0,AL66)*AL67</f>
        <v>-243.200231758544</v>
      </c>
      <c r="AM68" s="16" t="n">
        <f aca="false">-MAX(0,AM66)*AM67</f>
        <v>-248.307436625474</v>
      </c>
      <c r="AN68" s="16" t="n">
        <f aca="false">-MAX(0,AN66)*AN67</f>
        <v>-253.521892794608</v>
      </c>
      <c r="AO68" s="16" t="n">
        <f aca="false">-MAX(0,AO66)*AO67</f>
        <v>-258.845852543295</v>
      </c>
      <c r="AP68" s="16" t="n">
        <f aca="false">-MAX(0,AP66)*AP67</f>
        <v>-264.281615446704</v>
      </c>
      <c r="AQ68" s="16" t="n">
        <f aca="false">-MAX(0,AQ66)*AQ67</f>
        <v>-269.831529371085</v>
      </c>
      <c r="AR68" s="16" t="n">
        <f aca="false">-MAX(0,AR66)*AR67</f>
        <v>-275.497991487878</v>
      </c>
      <c r="AS68" s="16" t="n">
        <f aca="false">-MAX(0,AS66)*AS67</f>
        <v>-281.283449309123</v>
      </c>
      <c r="AT68" s="16" t="n">
        <f aca="false">-MAX(0,AT66)*AT67</f>
        <v>-287.190401744615</v>
      </c>
      <c r="AU68" s="16" t="n">
        <f aca="false">-MAX(0,AU66)*AU67</f>
        <v>-293.221400181252</v>
      </c>
      <c r="AV68" s="16" t="n">
        <f aca="false">-MAX(0,AV66)*AV67</f>
        <v>-299.379049585058</v>
      </c>
    </row>
    <row r="69" customFormat="false" ht="15" hidden="false" customHeight="false" outlineLevel="0" collapsed="false">
      <c r="B69" s="7" t="s">
        <v>144</v>
      </c>
      <c r="D69" s="16" t="n">
        <f aca="false">-D63*$C$52</f>
        <v>-83.3080329</v>
      </c>
      <c r="E69" s="16" t="n">
        <f aca="false">-E63*$C$52</f>
        <v>-85.0575015909</v>
      </c>
      <c r="F69" s="16" t="n">
        <f aca="false">-F63*$C$52</f>
        <v>-86.8437091243089</v>
      </c>
      <c r="G69" s="16" t="n">
        <f aca="false">-G63*$C$52</f>
        <v>-88.6674270159194</v>
      </c>
      <c r="H69" s="16" t="n">
        <f aca="false">-H63*$C$52</f>
        <v>-90.5294429832537</v>
      </c>
      <c r="I69" s="16" t="n">
        <f aca="false">-I63*$C$52</f>
        <v>-92.430561285902</v>
      </c>
      <c r="J69" s="16" t="n">
        <f aca="false">-J63*$C$52</f>
        <v>-94.3716030729059</v>
      </c>
      <c r="K69" s="16" t="n">
        <f aca="false">-K63*$C$52</f>
        <v>-96.3534067374369</v>
      </c>
      <c r="L69" s="16" t="n">
        <f aca="false">-L63*$C$52</f>
        <v>-98.3768282789231</v>
      </c>
      <c r="M69" s="16" t="n">
        <f aca="false">-M63*$C$52</f>
        <v>-100.44274167278</v>
      </c>
      <c r="N69" s="16" t="n">
        <f aca="false">-N63*$C$52</f>
        <v>-102.552039247909</v>
      </c>
      <c r="O69" s="16" t="n">
        <f aca="false">-O63*$C$52</f>
        <v>-104.705632072115</v>
      </c>
      <c r="P69" s="16" t="n">
        <f aca="false">-P63*$C$52</f>
        <v>-106.904450345629</v>
      </c>
      <c r="Q69" s="16" t="n">
        <f aca="false">-Q63*$C$52</f>
        <v>-109.149443802888</v>
      </c>
      <c r="R69" s="16" t="n">
        <f aca="false">-R63*$C$52</f>
        <v>-111.441582122748</v>
      </c>
      <c r="S69" s="16" t="n">
        <f aca="false">-S63*$C$52</f>
        <v>-113.781855347326</v>
      </c>
      <c r="T69" s="16" t="n">
        <f aca="false">-T63*$C$52</f>
        <v>-116.17127430962</v>
      </c>
      <c r="U69" s="16" t="n">
        <f aca="false">-U63*$C$52</f>
        <v>-118.610871070122</v>
      </c>
      <c r="V69" s="16" t="n">
        <f aca="false">-V63*$C$52</f>
        <v>-121.101699362594</v>
      </c>
      <c r="W69" s="16" t="n">
        <f aca="false">-W63*$C$52</f>
        <v>-123.644835049209</v>
      </c>
      <c r="X69" s="16" t="n">
        <f aca="false">-X63*$C$52</f>
        <v>-126.241376585242</v>
      </c>
      <c r="Y69" s="16" t="n">
        <f aca="false">-Y63*$C$52</f>
        <v>-128.892445493532</v>
      </c>
      <c r="Z69" s="16" t="n">
        <f aca="false">-Z63*$C$52</f>
        <v>-131.599186848896</v>
      </c>
      <c r="AA69" s="16" t="n">
        <f aca="false">-AA63*$C$52</f>
        <v>-134.362769772723</v>
      </c>
      <c r="AB69" s="16" t="n">
        <f aca="false">-AB63*$C$52</f>
        <v>-137.18438793795</v>
      </c>
      <c r="AC69" s="16" t="n">
        <f aca="false">-AC63*$C$52</f>
        <v>-140.065260084647</v>
      </c>
      <c r="AD69" s="16" t="n">
        <f aca="false">-AD63*$C$52</f>
        <v>-143.006630546425</v>
      </c>
      <c r="AE69" s="16" t="n">
        <f aca="false">-AE63*$C$52</f>
        <v>-146.0097697879</v>
      </c>
      <c r="AF69" s="16" t="n">
        <f aca="false">-AF63*$C$52</f>
        <v>-149.075974953446</v>
      </c>
      <c r="AG69" s="16" t="n">
        <f aca="false">-AG63*$C$52</f>
        <v>-152.206570427468</v>
      </c>
      <c r="AH69" s="16" t="n">
        <f aca="false">-AH63*$C$52</f>
        <v>-155.402908406445</v>
      </c>
      <c r="AI69" s="16" t="n">
        <f aca="false">-AI63*$C$52</f>
        <v>-158.66636948298</v>
      </c>
      <c r="AJ69" s="16" t="n">
        <f aca="false">-AJ63*$C$52</f>
        <v>-161.998363242123</v>
      </c>
      <c r="AK69" s="16" t="n">
        <f aca="false">-AK63*$C$52</f>
        <v>-165.400328870207</v>
      </c>
      <c r="AL69" s="16" t="n">
        <f aca="false">-AL63*$C$52</f>
        <v>-168.873735776482</v>
      </c>
      <c r="AM69" s="16" t="n">
        <f aca="false">-AM63*$C$52</f>
        <v>-172.420084227788</v>
      </c>
      <c r="AN69" s="16" t="n">
        <f aca="false">-AN63*$C$52</f>
        <v>-176.040905996571</v>
      </c>
      <c r="AO69" s="16" t="n">
        <f aca="false">-AO63*$C$52</f>
        <v>-179.737765022499</v>
      </c>
      <c r="AP69" s="16" t="n">
        <f aca="false">-AP63*$C$52</f>
        <v>-183.512258087972</v>
      </c>
      <c r="AQ69" s="16" t="n">
        <f aca="false">-AQ63*$C$52</f>
        <v>-187.366015507819</v>
      </c>
      <c r="AR69" s="16" t="n">
        <f aca="false">-AR63*$C$52</f>
        <v>-191.300701833483</v>
      </c>
      <c r="AS69" s="16" t="n">
        <f aca="false">-AS63*$C$52</f>
        <v>-195.318016571986</v>
      </c>
      <c r="AT69" s="16" t="n">
        <f aca="false">-AT63*$C$52</f>
        <v>-199.419694919998</v>
      </c>
      <c r="AU69" s="16" t="n">
        <f aca="false">-AU63*$C$52</f>
        <v>-203.607508513318</v>
      </c>
      <c r="AV69" s="16" t="n">
        <f aca="false">-AV63*$C$52</f>
        <v>-207.883266192098</v>
      </c>
    </row>
    <row r="70" customFormat="false" ht="15" hidden="false" customHeight="false" outlineLevel="0" collapsed="false">
      <c r="B70" s="7" t="s">
        <v>145</v>
      </c>
      <c r="D70" s="16" t="n">
        <f aca="false">-D63*$C$53</f>
        <v>-1.7176914</v>
      </c>
      <c r="E70" s="16" t="n">
        <f aca="false">-E63*$C$53</f>
        <v>-1.7537629194</v>
      </c>
      <c r="F70" s="16" t="n">
        <f aca="false">-F63*$C$53</f>
        <v>-1.7905919407074</v>
      </c>
      <c r="G70" s="16" t="n">
        <f aca="false">-G63*$C$53</f>
        <v>-1.82819437146226</v>
      </c>
      <c r="H70" s="16" t="n">
        <f aca="false">-H63*$C$53</f>
        <v>-1.86658645326296</v>
      </c>
      <c r="I70" s="16" t="n">
        <f aca="false">-I63*$C$53</f>
        <v>-1.90578476878148</v>
      </c>
      <c r="J70" s="16" t="n">
        <f aca="false">-J63*$C$53</f>
        <v>-1.9458062489259</v>
      </c>
      <c r="K70" s="16" t="n">
        <f aca="false">-K63*$C$53</f>
        <v>-1.98666818015334</v>
      </c>
      <c r="L70" s="16" t="n">
        <f aca="false">-L63*$C$53</f>
        <v>-2.02838821193656</v>
      </c>
      <c r="M70" s="16" t="n">
        <f aca="false">-M63*$C$53</f>
        <v>-2.07098436438723</v>
      </c>
      <c r="N70" s="16" t="n">
        <f aca="false">-N63*$C$53</f>
        <v>-2.11447503603936</v>
      </c>
      <c r="O70" s="16" t="n">
        <f aca="false">-O63*$C$53</f>
        <v>-2.15887901179618</v>
      </c>
      <c r="P70" s="16" t="n">
        <f aca="false">-P63*$C$53</f>
        <v>-2.2042154710439</v>
      </c>
      <c r="Q70" s="16" t="n">
        <f aca="false">-Q63*$C$53</f>
        <v>-2.25050399593583</v>
      </c>
      <c r="R70" s="16" t="n">
        <f aca="false">-R63*$C$53</f>
        <v>-2.29776457985048</v>
      </c>
      <c r="S70" s="16" t="n">
        <f aca="false">-S63*$C$53</f>
        <v>-2.34601763602734</v>
      </c>
      <c r="T70" s="16" t="n">
        <f aca="false">-T63*$C$53</f>
        <v>-2.39528400638391</v>
      </c>
      <c r="U70" s="16" t="n">
        <f aca="false">-U63*$C$53</f>
        <v>-2.44558497051797</v>
      </c>
      <c r="V70" s="16" t="n">
        <f aca="false">-V63*$C$53</f>
        <v>-2.49694225489885</v>
      </c>
      <c r="W70" s="16" t="n">
        <f aca="false">-W63*$C$53</f>
        <v>-2.54937804225173</v>
      </c>
      <c r="X70" s="16" t="n">
        <f aca="false">-X63*$C$53</f>
        <v>-2.60291498113901</v>
      </c>
      <c r="Y70" s="16" t="n">
        <f aca="false">-Y63*$C$53</f>
        <v>-2.65757619574293</v>
      </c>
      <c r="Z70" s="16" t="n">
        <f aca="false">-Z63*$C$53</f>
        <v>-2.71338529585353</v>
      </c>
      <c r="AA70" s="16" t="n">
        <f aca="false">-AA63*$C$53</f>
        <v>-2.77036638706646</v>
      </c>
      <c r="AB70" s="16" t="n">
        <f aca="false">-AB63*$C$53</f>
        <v>-2.82854408119485</v>
      </c>
      <c r="AC70" s="16" t="n">
        <f aca="false">-AC63*$C$53</f>
        <v>-2.88794350689994</v>
      </c>
      <c r="AD70" s="16" t="n">
        <f aca="false">-AD63*$C$53</f>
        <v>-2.94859032054484</v>
      </c>
      <c r="AE70" s="16" t="n">
        <f aca="false">-AE63*$C$53</f>
        <v>-3.01051071727628</v>
      </c>
      <c r="AF70" s="16" t="n">
        <f aca="false">-AF63*$C$53</f>
        <v>-3.07373144233908</v>
      </c>
      <c r="AG70" s="16" t="n">
        <f aca="false">-AG63*$C$53</f>
        <v>-3.13827980262821</v>
      </c>
      <c r="AH70" s="16" t="n">
        <f aca="false">-AH63*$C$53</f>
        <v>-3.2041836784834</v>
      </c>
      <c r="AI70" s="16" t="n">
        <f aca="false">-AI63*$C$53</f>
        <v>-3.27147153573155</v>
      </c>
      <c r="AJ70" s="16" t="n">
        <f aca="false">-AJ63*$C$53</f>
        <v>-3.34017243798191</v>
      </c>
      <c r="AK70" s="16" t="n">
        <f aca="false">-AK63*$C$53</f>
        <v>-3.41031605917953</v>
      </c>
      <c r="AL70" s="16" t="n">
        <f aca="false">-AL63*$C$53</f>
        <v>-3.4819326964223</v>
      </c>
      <c r="AM70" s="16" t="n">
        <f aca="false">-AM63*$C$53</f>
        <v>-3.55505328304717</v>
      </c>
      <c r="AN70" s="16" t="n">
        <f aca="false">-AN63*$C$53</f>
        <v>-3.62970940199116</v>
      </c>
      <c r="AO70" s="16" t="n">
        <f aca="false">-AO63*$C$53</f>
        <v>-3.70593329943297</v>
      </c>
      <c r="AP70" s="16" t="n">
        <f aca="false">-AP63*$C$53</f>
        <v>-3.78375789872106</v>
      </c>
      <c r="AQ70" s="16" t="n">
        <f aca="false">-AQ63*$C$53</f>
        <v>-3.86321681459421</v>
      </c>
      <c r="AR70" s="16" t="n">
        <f aca="false">-AR63*$C$53</f>
        <v>-3.94434436770068</v>
      </c>
      <c r="AS70" s="16" t="n">
        <f aca="false">-AS63*$C$53</f>
        <v>-4.0271755994224</v>
      </c>
      <c r="AT70" s="16" t="n">
        <f aca="false">-AT63*$C$53</f>
        <v>-4.11174628701027</v>
      </c>
      <c r="AU70" s="16" t="n">
        <f aca="false">-AU63*$C$53</f>
        <v>-4.19809295903748</v>
      </c>
      <c r="AV70" s="16" t="n">
        <f aca="false">-AV63*$C$53</f>
        <v>-4.28625291117727</v>
      </c>
    </row>
    <row r="71" customFormat="false" ht="15" hidden="false" customHeight="false" outlineLevel="0" collapsed="false">
      <c r="B71" s="12" t="s">
        <v>146</v>
      </c>
      <c r="D71" s="38" t="n">
        <f aca="false">(D64+D68+D69+D70)*D62</f>
        <v>217.351509884239</v>
      </c>
      <c r="E71" s="38" t="n">
        <f aca="false">(E64+E68+E69+E70)*E62</f>
        <v>482.944022830148</v>
      </c>
      <c r="F71" s="38" t="n">
        <f aca="false">(F64+F68+F69+F70)*F62</f>
        <v>494.436767439196</v>
      </c>
      <c r="G71" s="38" t="n">
        <f aca="false">(G64+G68+G69+G70)*G62</f>
        <v>503.440650103082</v>
      </c>
      <c r="H71" s="38" t="n">
        <f aca="false">(H64+H68+H69+H70)*H62</f>
        <v>514.012903755247</v>
      </c>
      <c r="I71" s="38" t="n">
        <f aca="false">(I64+I68+I69+I70)*I62</f>
        <v>524.807174734107</v>
      </c>
      <c r="J71" s="38" t="n">
        <f aca="false">(J64+J68+J69+J70)*J62</f>
        <v>537.296147664903</v>
      </c>
      <c r="K71" s="38" t="n">
        <f aca="false">(K64+K68+K69+K70)*K62</f>
        <v>0</v>
      </c>
      <c r="L71" s="38" t="n">
        <f aca="false">(L64+L68+L69+L70)*L62</f>
        <v>0</v>
      </c>
      <c r="M71" s="38" t="n">
        <f aca="false">(M64+M68+M69+M70)*M62</f>
        <v>0</v>
      </c>
      <c r="N71" s="38" t="n">
        <f aca="false">(N64+N68+N69+N70)*N62</f>
        <v>0</v>
      </c>
      <c r="O71" s="38" t="n">
        <f aca="false">(O64+O68+O69+O70)*O62</f>
        <v>0</v>
      </c>
      <c r="P71" s="38" t="n">
        <f aca="false">(P64+P68+P69+P70)*P62</f>
        <v>0</v>
      </c>
      <c r="Q71" s="38" t="n">
        <f aca="false">(Q64+Q68+Q69+Q70)*Q62</f>
        <v>0</v>
      </c>
      <c r="R71" s="38" t="n">
        <f aca="false">(R64+R68+R69+R70)*R62</f>
        <v>0</v>
      </c>
      <c r="S71" s="38" t="n">
        <f aca="false">(S64+S68+S69+S70)*S62</f>
        <v>0</v>
      </c>
      <c r="T71" s="38" t="n">
        <f aca="false">(T64+T68+T69+T70)*T62</f>
        <v>0</v>
      </c>
      <c r="U71" s="38" t="n">
        <f aca="false">(U64+U68+U69+U70)*U62</f>
        <v>0</v>
      </c>
      <c r="V71" s="38" t="n">
        <f aca="false">(V64+V68+V69+V70)*V62</f>
        <v>0</v>
      </c>
      <c r="W71" s="38" t="n">
        <f aca="false">(W64+W68+W69+W70)*W62</f>
        <v>0</v>
      </c>
      <c r="X71" s="38" t="n">
        <f aca="false">(X64+X68+X69+X70)*X62</f>
        <v>0</v>
      </c>
      <c r="Y71" s="38" t="n">
        <f aca="false">(Y64+Y68+Y69+Y70)*Y62</f>
        <v>0</v>
      </c>
      <c r="Z71" s="38" t="n">
        <f aca="false">(Z64+Z68+Z69+Z70)*Z62</f>
        <v>0</v>
      </c>
      <c r="AA71" s="38" t="n">
        <f aca="false">(AA64+AA68+AA69+AA70)*AA62</f>
        <v>0</v>
      </c>
      <c r="AB71" s="38" t="n">
        <f aca="false">(AB64+AB68+AB69+AB70)*AB62</f>
        <v>0</v>
      </c>
      <c r="AC71" s="38" t="n">
        <f aca="false">(AC64+AC68+AC69+AC70)*AC62</f>
        <v>0</v>
      </c>
      <c r="AD71" s="38" t="n">
        <f aca="false">(AD64+AD68+AD69+AD70)*AD62</f>
        <v>0</v>
      </c>
      <c r="AE71" s="38" t="n">
        <f aca="false">(AE64+AE68+AE69+AE70)*AE62</f>
        <v>0</v>
      </c>
      <c r="AF71" s="38" t="n">
        <f aca="false">(AF64+AF68+AF69+AF70)*AF62</f>
        <v>0</v>
      </c>
      <c r="AG71" s="38" t="n">
        <f aca="false">(AG64+AG68+AG69+AG70)*AG62</f>
        <v>0</v>
      </c>
      <c r="AH71" s="38" t="n">
        <f aca="false">(AH64+AH68+AH69+AH70)*AH62</f>
        <v>0</v>
      </c>
      <c r="AI71" s="38" t="n">
        <f aca="false">(AI64+AI68+AI69+AI70)*AI62</f>
        <v>0</v>
      </c>
      <c r="AJ71" s="38" t="n">
        <f aca="false">(AJ64+AJ68+AJ69+AJ70)*AJ62</f>
        <v>0</v>
      </c>
      <c r="AK71" s="38" t="n">
        <f aca="false">(AK64+AK68+AK69+AK70)*AK62</f>
        <v>0</v>
      </c>
      <c r="AL71" s="38" t="n">
        <f aca="false">(AL64+AL68+AL69+AL70)*AL62</f>
        <v>0</v>
      </c>
      <c r="AM71" s="38" t="n">
        <f aca="false">(AM64+AM68+AM69+AM70)*AM62</f>
        <v>0</v>
      </c>
      <c r="AN71" s="38" t="n">
        <f aca="false">(AN64+AN68+AN69+AN70)*AN62</f>
        <v>0</v>
      </c>
      <c r="AO71" s="38" t="n">
        <f aca="false">(AO64+AO68+AO69+AO70)*AO62</f>
        <v>0</v>
      </c>
      <c r="AP71" s="38" t="n">
        <f aca="false">(AP64+AP68+AP69+AP70)*AP62</f>
        <v>0</v>
      </c>
      <c r="AQ71" s="38" t="n">
        <f aca="false">(AQ64+AQ68+AQ69+AQ70)*AQ62</f>
        <v>0</v>
      </c>
      <c r="AR71" s="38" t="n">
        <f aca="false">(AR64+AR68+AR69+AR70)*AR62</f>
        <v>0</v>
      </c>
      <c r="AS71" s="38" t="n">
        <f aca="false">(AS64+AS68+AS69+AS70)*AS62</f>
        <v>0</v>
      </c>
      <c r="AT71" s="38" t="n">
        <f aca="false">(AT64+AT68+AT69+AT70)*AT62</f>
        <v>0</v>
      </c>
      <c r="AU71" s="38" t="n">
        <f aca="false">(AU64+AU68+AU69+AU70)*AU62</f>
        <v>0</v>
      </c>
      <c r="AV71" s="38" t="n">
        <f aca="false">(AV64+AV68+AV69+AV70)*AV62</f>
        <v>0</v>
      </c>
    </row>
    <row r="72" customFormat="false" ht="15" hidden="false" customHeight="false" outlineLevel="0" collapsed="false">
      <c r="B72" s="7" t="s">
        <v>147</v>
      </c>
      <c r="D72" s="37" t="n">
        <f aca="false">((MAX(Inputs!$C$5+1,DATE(D$61,1,1))+DATE(D$61,12,31))/2-Inputs!$C$5)/365</f>
        <v>0.253424657534247</v>
      </c>
      <c r="E72" s="37" t="n">
        <f aca="false">((MAX(Inputs!$C$5+1,DATE(E$61,1,1))+DATE(E$61,12,31))/2-Inputs!$C$5)/365</f>
        <v>1.00547945205479</v>
      </c>
      <c r="F72" s="37" t="n">
        <f aca="false">((MAX(Inputs!$C$5+1,DATE(F$61,1,1))+DATE(F$61,12,31))/2-Inputs!$C$5)/365</f>
        <v>2.00684931506849</v>
      </c>
      <c r="G72" s="37" t="n">
        <f aca="false">((MAX(Inputs!$C$5+1,DATE(G$61,1,1))+DATE(G$61,12,31))/2-Inputs!$C$5)/365</f>
        <v>3.00821917808219</v>
      </c>
      <c r="H72" s="37" t="n">
        <f aca="false">((MAX(Inputs!$C$5+1,DATE(H$61,1,1))+DATE(H$61,12,31))/2-Inputs!$C$5)/365</f>
        <v>4.00821917808219</v>
      </c>
      <c r="I72" s="37" t="n">
        <f aca="false">((MAX(Inputs!$C$5+1,DATE(I$61,1,1))+DATE(I$61,12,31))/2-Inputs!$C$5)/365</f>
        <v>5.00821917808219</v>
      </c>
      <c r="J72" s="37" t="n">
        <f aca="false">((MAX(Inputs!$C$5+1,DATE(J$61,1,1))+DATE(J$61,12,31))/2-Inputs!$C$5)/365</f>
        <v>6.00958904109589</v>
      </c>
      <c r="K72" s="37" t="n">
        <f aca="false">((MAX(Inputs!$C$5+1,DATE(K$61,1,1))+DATE(K$61,12,31))/2-Inputs!$C$5)/365</f>
        <v>7.01095890410959</v>
      </c>
      <c r="L72" s="37" t="n">
        <f aca="false">((MAX(Inputs!$C$5+1,DATE(L$61,1,1))+DATE(L$61,12,31))/2-Inputs!$C$5)/365</f>
        <v>8.01095890410959</v>
      </c>
      <c r="M72" s="37" t="n">
        <f aca="false">((MAX(Inputs!$C$5+1,DATE(M$61,1,1))+DATE(M$61,12,31))/2-Inputs!$C$5)/365</f>
        <v>9.01095890410959</v>
      </c>
      <c r="N72" s="37" t="n">
        <f aca="false">((MAX(Inputs!$C$5+1,DATE(N$61,1,1))+DATE(N$61,12,31))/2-Inputs!$C$5)/365</f>
        <v>10.0123287671233</v>
      </c>
      <c r="O72" s="37" t="n">
        <f aca="false">((MAX(Inputs!$C$5+1,DATE(O$61,1,1))+DATE(O$61,12,31))/2-Inputs!$C$5)/365</f>
        <v>11.013698630137</v>
      </c>
      <c r="P72" s="37" t="n">
        <f aca="false">((MAX(Inputs!$C$5+1,DATE(P$61,1,1))+DATE(P$61,12,31))/2-Inputs!$C$5)/365</f>
        <v>12.013698630137</v>
      </c>
      <c r="Q72" s="37" t="n">
        <f aca="false">((MAX(Inputs!$C$5+1,DATE(Q$61,1,1))+DATE(Q$61,12,31))/2-Inputs!$C$5)/365</f>
        <v>13.013698630137</v>
      </c>
      <c r="R72" s="37" t="n">
        <f aca="false">((MAX(Inputs!$C$5+1,DATE(R$61,1,1))+DATE(R$61,12,31))/2-Inputs!$C$5)/365</f>
        <v>14.0150684931507</v>
      </c>
      <c r="S72" s="37" t="n">
        <f aca="false">((MAX(Inputs!$C$5+1,DATE(S$61,1,1))+DATE(S$61,12,31))/2-Inputs!$C$5)/365</f>
        <v>15.0164383561644</v>
      </c>
      <c r="T72" s="37" t="n">
        <f aca="false">((MAX(Inputs!$C$5+1,DATE(T$61,1,1))+DATE(T$61,12,31))/2-Inputs!$C$5)/365</f>
        <v>16.0164383561644</v>
      </c>
      <c r="U72" s="37" t="n">
        <f aca="false">((MAX(Inputs!$C$5+1,DATE(U$61,1,1))+DATE(U$61,12,31))/2-Inputs!$C$5)/365</f>
        <v>17.0164383561644</v>
      </c>
      <c r="V72" s="37" t="n">
        <f aca="false">((MAX(Inputs!$C$5+1,DATE(V$61,1,1))+DATE(V$61,12,31))/2-Inputs!$C$5)/365</f>
        <v>18.0178082191781</v>
      </c>
      <c r="W72" s="37" t="n">
        <f aca="false">((MAX(Inputs!$C$5+1,DATE(W$61,1,1))+DATE(W$61,12,31))/2-Inputs!$C$5)/365</f>
        <v>19.0191780821918</v>
      </c>
      <c r="X72" s="37" t="n">
        <f aca="false">((MAX(Inputs!$C$5+1,DATE(X$61,1,1))+DATE(X$61,12,31))/2-Inputs!$C$5)/365</f>
        <v>20.0191780821918</v>
      </c>
      <c r="Y72" s="37" t="n">
        <f aca="false">((MAX(Inputs!$C$5+1,DATE(Y$61,1,1))+DATE(Y$61,12,31))/2-Inputs!$C$5)/365</f>
        <v>21.0191780821918</v>
      </c>
      <c r="Z72" s="37" t="n">
        <f aca="false">((MAX(Inputs!$C$5+1,DATE(Z$61,1,1))+DATE(Z$61,12,31))/2-Inputs!$C$5)/365</f>
        <v>22.0205479452055</v>
      </c>
      <c r="AA72" s="37" t="n">
        <f aca="false">((MAX(Inputs!$C$5+1,DATE(AA$61,1,1))+DATE(AA$61,12,31))/2-Inputs!$C$5)/365</f>
        <v>23.0219178082192</v>
      </c>
      <c r="AB72" s="37" t="n">
        <f aca="false">((MAX(Inputs!$C$5+1,DATE(AB$61,1,1))+DATE(AB$61,12,31))/2-Inputs!$C$5)/365</f>
        <v>24.0219178082192</v>
      </c>
      <c r="AC72" s="37" t="n">
        <f aca="false">((MAX(Inputs!$C$5+1,DATE(AC$61,1,1))+DATE(AC$61,12,31))/2-Inputs!$C$5)/365</f>
        <v>25.0219178082192</v>
      </c>
      <c r="AD72" s="37" t="n">
        <f aca="false">((MAX(Inputs!$C$5+1,DATE(AD$61,1,1))+DATE(AD$61,12,31))/2-Inputs!$C$5)/365</f>
        <v>26.0232876712329</v>
      </c>
      <c r="AE72" s="37" t="n">
        <f aca="false">((MAX(Inputs!$C$5+1,DATE(AE$61,1,1))+DATE(AE$61,12,31))/2-Inputs!$C$5)/365</f>
        <v>27.0246575342466</v>
      </c>
      <c r="AF72" s="37" t="n">
        <f aca="false">((MAX(Inputs!$C$5+1,DATE(AF$61,1,1))+DATE(AF$61,12,31))/2-Inputs!$C$5)/365</f>
        <v>28.0246575342466</v>
      </c>
      <c r="AG72" s="37" t="n">
        <f aca="false">((MAX(Inputs!$C$5+1,DATE(AG$61,1,1))+DATE(AG$61,12,31))/2-Inputs!$C$5)/365</f>
        <v>29.0246575342466</v>
      </c>
      <c r="AH72" s="37" t="n">
        <f aca="false">((MAX(Inputs!$C$5+1,DATE(AH$61,1,1))+DATE(AH$61,12,31))/2-Inputs!$C$5)/365</f>
        <v>30.0260273972603</v>
      </c>
      <c r="AI72" s="37" t="n">
        <f aca="false">((MAX(Inputs!$C$5+1,DATE(AI$61,1,1))+DATE(AI$61,12,31))/2-Inputs!$C$5)/365</f>
        <v>31.027397260274</v>
      </c>
      <c r="AJ72" s="37" t="n">
        <f aca="false">((MAX(Inputs!$C$5+1,DATE(AJ$61,1,1))+DATE(AJ$61,12,31))/2-Inputs!$C$5)/365</f>
        <v>32.027397260274</v>
      </c>
      <c r="AK72" s="37" t="n">
        <f aca="false">((MAX(Inputs!$C$5+1,DATE(AK$61,1,1))+DATE(AK$61,12,31))/2-Inputs!$C$5)/365</f>
        <v>33.027397260274</v>
      </c>
      <c r="AL72" s="37" t="n">
        <f aca="false">((MAX(Inputs!$C$5+1,DATE(AL$61,1,1))+DATE(AL$61,12,31))/2-Inputs!$C$5)/365</f>
        <v>34.0287671232877</v>
      </c>
      <c r="AM72" s="37" t="n">
        <f aca="false">((MAX(Inputs!$C$5+1,DATE(AM$61,1,1))+DATE(AM$61,12,31))/2-Inputs!$C$5)/365</f>
        <v>35.0301369863014</v>
      </c>
      <c r="AN72" s="37" t="n">
        <f aca="false">((MAX(Inputs!$C$5+1,DATE(AN$61,1,1))+DATE(AN$61,12,31))/2-Inputs!$C$5)/365</f>
        <v>36.0301369863014</v>
      </c>
      <c r="AO72" s="37" t="n">
        <f aca="false">((MAX(Inputs!$C$5+1,DATE(AO$61,1,1))+DATE(AO$61,12,31))/2-Inputs!$C$5)/365</f>
        <v>37.0301369863014</v>
      </c>
      <c r="AP72" s="37" t="n">
        <f aca="false">((MAX(Inputs!$C$5+1,DATE(AP$61,1,1))+DATE(AP$61,12,31))/2-Inputs!$C$5)/365</f>
        <v>38.0315068493151</v>
      </c>
      <c r="AQ72" s="37" t="n">
        <f aca="false">((MAX(Inputs!$C$5+1,DATE(AQ$61,1,1))+DATE(AQ$61,12,31))/2-Inputs!$C$5)/365</f>
        <v>39.0328767123288</v>
      </c>
      <c r="AR72" s="37" t="n">
        <f aca="false">((MAX(Inputs!$C$5+1,DATE(AR$61,1,1))+DATE(AR$61,12,31))/2-Inputs!$C$5)/365</f>
        <v>40.0328767123288</v>
      </c>
      <c r="AS72" s="37" t="n">
        <f aca="false">((MAX(Inputs!$C$5+1,DATE(AS$61,1,1))+DATE(AS$61,12,31))/2-Inputs!$C$5)/365</f>
        <v>41.0328767123288</v>
      </c>
      <c r="AT72" s="37" t="n">
        <f aca="false">((MAX(Inputs!$C$5+1,DATE(AT$61,1,1))+DATE(AT$61,12,31))/2-Inputs!$C$5)/365</f>
        <v>42.0342465753425</v>
      </c>
      <c r="AU72" s="37" t="n">
        <f aca="false">((MAX(Inputs!$C$5+1,DATE(AU$61,1,1))+DATE(AU$61,12,31))/2-Inputs!$C$5)/365</f>
        <v>43.0356164383562</v>
      </c>
      <c r="AV72" s="37" t="n">
        <f aca="false">((MAX(Inputs!$C$5+1,DATE(AV$61,1,1))+DATE(AV$61,12,31))/2-Inputs!$C$5)/365</f>
        <v>44.0356164383562</v>
      </c>
    </row>
    <row r="73" customFormat="false" ht="15" hidden="false" customHeight="false" outlineLevel="0" collapsed="false">
      <c r="B73" s="7" t="s">
        <v>148</v>
      </c>
      <c r="D73" s="39" t="n">
        <f aca="false">1/(1+$C$54)^D72</f>
        <v>0.984167309000933</v>
      </c>
      <c r="E73" s="39" t="n">
        <f aca="false">1/(1+$C$54)^E72</f>
        <v>0.938643185104451</v>
      </c>
      <c r="F73" s="39" t="n">
        <f aca="false">1/(1+$C$54)^F72</f>
        <v>0.881279074936991</v>
      </c>
      <c r="G73" s="39" t="n">
        <f aca="false">1/(1+$C$54)^G72</f>
        <v>0.827420707087299</v>
      </c>
      <c r="H73" s="39" t="n">
        <f aca="false">1/(1+$C$54)^H72</f>
        <v>0.776920851725163</v>
      </c>
      <c r="I73" s="39" t="n">
        <f aca="false">1/(1+$C$54)^I72</f>
        <v>0.729503147159778</v>
      </c>
      <c r="J73" s="39" t="n">
        <f aca="false">1/(1+$C$54)^J72</f>
        <v>0.684920392429049</v>
      </c>
      <c r="K73" s="39" t="n">
        <f aca="false">1/(1+$C$54)^K72</f>
        <v>0.643062262022586</v>
      </c>
      <c r="L73" s="39" t="n">
        <f aca="false">1/(1+$C$54)^L72</f>
        <v>0.603814330537639</v>
      </c>
      <c r="M73" s="39" t="n">
        <f aca="false">1/(1+$C$54)^M72</f>
        <v>0.566961812711398</v>
      </c>
      <c r="N73" s="39" t="n">
        <f aca="false">1/(1+$C$54)^N72</f>
        <v>0.532312586678292</v>
      </c>
      <c r="O73" s="39" t="n">
        <f aca="false">1/(1+$C$54)^O72</f>
        <v>0.499780908666544</v>
      </c>
      <c r="P73" s="39" t="n">
        <f aca="false">1/(1+$C$54)^P72</f>
        <v>0.469277848513187</v>
      </c>
      <c r="Q73" s="39" t="n">
        <f aca="false">1/(1+$C$54)^Q72</f>
        <v>0.440636477477171</v>
      </c>
      <c r="R73" s="39" t="n">
        <f aca="false">1/(1+$C$54)^R72</f>
        <v>0.413707480560213</v>
      </c>
      <c r="S73" s="39" t="n">
        <f aca="false">1/(1+$C$54)^S72</f>
        <v>0.388424218647096</v>
      </c>
      <c r="T73" s="39" t="n">
        <f aca="false">1/(1+$C$54)^T72</f>
        <v>0.364717576194456</v>
      </c>
      <c r="U73" s="39" t="n">
        <f aca="false">1/(1+$C$54)^U72</f>
        <v>0.342457818022963</v>
      </c>
      <c r="V73" s="39" t="n">
        <f aca="false">1/(1+$C$54)^V72</f>
        <v>0.321528898160203</v>
      </c>
      <c r="W73" s="39" t="n">
        <f aca="false">1/(1+$C$54)^W72</f>
        <v>0.301879025419656</v>
      </c>
      <c r="X73" s="39" t="n">
        <f aca="false">1/(1+$C$54)^X72</f>
        <v>0.283454483962119</v>
      </c>
      <c r="Y73" s="39" t="n">
        <f aca="false">1/(1+$C$54)^Y72</f>
        <v>0.266154445034853</v>
      </c>
      <c r="Z73" s="39" t="n">
        <f aca="false">1/(1+$C$54)^Z72</f>
        <v>0.249888718985993</v>
      </c>
      <c r="AA73" s="39" t="n">
        <f aca="false">1/(1+$C$54)^AA72</f>
        <v>0.234617054275699</v>
      </c>
      <c r="AB73" s="39" t="n">
        <f aca="false">1/(1+$C$54)^AB72</f>
        <v>0.220297703545257</v>
      </c>
      <c r="AC73" s="39" t="n">
        <f aca="false">1/(1+$C$54)^AC72</f>
        <v>0.206852303798364</v>
      </c>
      <c r="AD73" s="39" t="n">
        <f aca="false">1/(1+$C$54)^AD72</f>
        <v>0.194210760630752</v>
      </c>
      <c r="AE73" s="39" t="n">
        <f aca="false">1/(1+$C$54)^AE72</f>
        <v>0.182341790988908</v>
      </c>
      <c r="AF73" s="39" t="n">
        <f aca="false">1/(1+$C$54)^AF72</f>
        <v>0.17121294928536</v>
      </c>
      <c r="AG73" s="39" t="n">
        <f aca="false">1/(1+$C$54)^AG72</f>
        <v>0.16076333266231</v>
      </c>
      <c r="AH73" s="39" t="n">
        <f aca="false">1/(1+$C$54)^AH72</f>
        <v>0.150938464520639</v>
      </c>
      <c r="AI73" s="39" t="n">
        <f aca="false">1/(1+$C$54)^AI72</f>
        <v>0.141714032015645</v>
      </c>
      <c r="AJ73" s="39" t="n">
        <f aca="false">1/(1+$C$54)^AJ72</f>
        <v>0.133064818794032</v>
      </c>
      <c r="AK73" s="39" t="n">
        <f aca="false">1/(1+$C$54)^AK72</f>
        <v>0.124943491825383</v>
      </c>
      <c r="AL73" s="39" t="n">
        <f aca="false">1/(1+$C$54)^AL72</f>
        <v>0.117307712496754</v>
      </c>
      <c r="AM73" s="39" t="n">
        <f aca="false">1/(1+$C$54)^AM72</f>
        <v>0.110138585132976</v>
      </c>
      <c r="AN73" s="39" t="n">
        <f aca="false">1/(1+$C$54)^AN72</f>
        <v>0.103416511861949</v>
      </c>
      <c r="AO73" s="39" t="n">
        <f aca="false">1/(1+$C$54)^AO72</f>
        <v>0.0971047059736612</v>
      </c>
      <c r="AP73" s="39" t="n">
        <f aca="false">1/(1+$C$54)^AP72</f>
        <v>0.0911702623643657</v>
      </c>
      <c r="AQ73" s="39" t="n">
        <f aca="false">1/(1+$C$54)^AQ72</f>
        <v>0.0855984955233976</v>
      </c>
      <c r="AR73" s="39" t="n">
        <f aca="false">1/(1+$C$54)^AR72</f>
        <v>0.0803741742003733</v>
      </c>
      <c r="AS73" s="39" t="n">
        <f aca="false">1/(1+$C$54)^AS72</f>
        <v>0.0754687081693646</v>
      </c>
      <c r="AT73" s="39" t="n">
        <f aca="false">1/(1+$C$54)^AT72</f>
        <v>0.0708565239460897</v>
      </c>
      <c r="AU73" s="39" t="n">
        <f aca="false">1/(1+$C$54)^AU72</f>
        <v>0.0665262081133758</v>
      </c>
      <c r="AV73" s="39" t="n">
        <f aca="false">1/(1+$C$54)^AV72</f>
        <v>0.062465923111151</v>
      </c>
    </row>
    <row r="74" customFormat="false" ht="15" hidden="false" customHeight="false" outlineLevel="0" collapsed="false">
      <c r="B74" s="12" t="s">
        <v>149</v>
      </c>
      <c r="D74" s="40" t="n">
        <f aca="false">D71*D73</f>
        <v>213.910250590061</v>
      </c>
      <c r="E74" s="40" t="n">
        <f aca="false">E71*E73</f>
        <v>453.312115816447</v>
      </c>
      <c r="F74" s="40" t="n">
        <f aca="false">F71*F73</f>
        <v>435.736777023651</v>
      </c>
      <c r="G74" s="40" t="n">
        <f aca="false">G71*G73</f>
        <v>416.557218684782</v>
      </c>
      <c r="H74" s="40" t="n">
        <f aca="false">H71*H73</f>
        <v>399.347342983251</v>
      </c>
      <c r="I74" s="40" t="n">
        <f aca="false">I71*I73</f>
        <v>382.848485620562</v>
      </c>
      <c r="J74" s="40" t="n">
        <f aca="false">J71*J73</f>
        <v>368.005088309261</v>
      </c>
      <c r="K74" s="40" t="n">
        <f aca="false">K71*K73</f>
        <v>0</v>
      </c>
      <c r="L74" s="40" t="n">
        <f aca="false">L71*L73</f>
        <v>0</v>
      </c>
      <c r="M74" s="40" t="n">
        <f aca="false">M71*M73</f>
        <v>0</v>
      </c>
      <c r="N74" s="40" t="n">
        <f aca="false">N71*N73</f>
        <v>0</v>
      </c>
      <c r="O74" s="40" t="n">
        <f aca="false">O71*O73</f>
        <v>0</v>
      </c>
      <c r="P74" s="40" t="n">
        <f aca="false">P71*P73</f>
        <v>0</v>
      </c>
      <c r="Q74" s="40" t="n">
        <f aca="false">Q71*Q73</f>
        <v>0</v>
      </c>
      <c r="R74" s="40" t="n">
        <f aca="false">R71*R73</f>
        <v>0</v>
      </c>
      <c r="S74" s="40" t="n">
        <f aca="false">S71*S73</f>
        <v>0</v>
      </c>
      <c r="T74" s="40" t="n">
        <f aca="false">T71*T73</f>
        <v>0</v>
      </c>
      <c r="U74" s="40" t="n">
        <f aca="false">U71*U73</f>
        <v>0</v>
      </c>
      <c r="V74" s="40" t="n">
        <f aca="false">V71*V73</f>
        <v>0</v>
      </c>
      <c r="W74" s="40" t="n">
        <f aca="false">W71*W73</f>
        <v>0</v>
      </c>
      <c r="X74" s="40" t="n">
        <f aca="false">X71*X73</f>
        <v>0</v>
      </c>
      <c r="Y74" s="40" t="n">
        <f aca="false">Y71*Y73</f>
        <v>0</v>
      </c>
      <c r="Z74" s="40" t="n">
        <f aca="false">Z71*Z73</f>
        <v>0</v>
      </c>
      <c r="AA74" s="40" t="n">
        <f aca="false">AA71*AA73</f>
        <v>0</v>
      </c>
      <c r="AB74" s="40" t="n">
        <f aca="false">AB71*AB73</f>
        <v>0</v>
      </c>
      <c r="AC74" s="40" t="n">
        <f aca="false">AC71*AC73</f>
        <v>0</v>
      </c>
      <c r="AD74" s="40" t="n">
        <f aca="false">AD71*AD73</f>
        <v>0</v>
      </c>
      <c r="AE74" s="40" t="n">
        <f aca="false">AE71*AE73</f>
        <v>0</v>
      </c>
      <c r="AF74" s="40" t="n">
        <f aca="false">AF71*AF73</f>
        <v>0</v>
      </c>
      <c r="AG74" s="40" t="n">
        <f aca="false">AG71*AG73</f>
        <v>0</v>
      </c>
      <c r="AH74" s="40" t="n">
        <f aca="false">AH71*AH73</f>
        <v>0</v>
      </c>
      <c r="AI74" s="40" t="n">
        <f aca="false">AI71*AI73</f>
        <v>0</v>
      </c>
      <c r="AJ74" s="40" t="n">
        <f aca="false">AJ71*AJ73</f>
        <v>0</v>
      </c>
      <c r="AK74" s="40" t="n">
        <f aca="false">AK71*AK73</f>
        <v>0</v>
      </c>
      <c r="AL74" s="40" t="n">
        <f aca="false">AL71*AL73</f>
        <v>0</v>
      </c>
      <c r="AM74" s="40" t="n">
        <f aca="false">AM71*AM73</f>
        <v>0</v>
      </c>
      <c r="AN74" s="40" t="n">
        <f aca="false">AN71*AN73</f>
        <v>0</v>
      </c>
      <c r="AO74" s="40" t="n">
        <f aca="false">AO71*AO73</f>
        <v>0</v>
      </c>
      <c r="AP74" s="40" t="n">
        <f aca="false">AP71*AP73</f>
        <v>0</v>
      </c>
      <c r="AQ74" s="40" t="n">
        <f aca="false">AQ71*AQ73</f>
        <v>0</v>
      </c>
      <c r="AR74" s="40" t="n">
        <f aca="false">AR71*AR73</f>
        <v>0</v>
      </c>
      <c r="AS74" s="40" t="n">
        <f aca="false">AS71*AS73</f>
        <v>0</v>
      </c>
      <c r="AT74" s="40" t="n">
        <f aca="false">AT71*AT73</f>
        <v>0</v>
      </c>
      <c r="AU74" s="40" t="n">
        <f aca="false">AU71*AU73</f>
        <v>0</v>
      </c>
      <c r="AV74" s="40" t="n">
        <f aca="false">AV71*AV73</f>
        <v>0</v>
      </c>
    </row>
    <row r="75" customFormat="false" ht="15" hidden="false" customHeight="false" outlineLevel="0" collapsed="false">
      <c r="B75" s="7" t="s">
        <v>150</v>
      </c>
      <c r="D75" s="16" t="n">
        <f aca="false">IF(AND($C$55=0,D$61=$C$57),D64-D63*($C$59+$C$53)-MAX(0,D64-D63*$C$59)*Inputs!$C$11,0)</f>
        <v>0</v>
      </c>
      <c r="E75" s="16" t="n">
        <f aca="false">IF(AND($C$55=0,E$61=$C$57),E64-E63*($C$59+$C$53)-MAX(0,E64-E63*$C$59)*Inputs!$C$11,0)</f>
        <v>0</v>
      </c>
      <c r="F75" s="16" t="n">
        <f aca="false">IF(AND($C$55=0,F$61=$C$57),F64-F63*($C$59+$C$53)-MAX(0,F64-F63*$C$59)*Inputs!$C$11,0)</f>
        <v>0</v>
      </c>
      <c r="G75" s="16" t="n">
        <f aca="false">IF(AND($C$55=0,G$61=$C$57),G64-G63*($C$59+$C$53)-MAX(0,G64-G63*$C$59)*Inputs!$C$11,0)</f>
        <v>0</v>
      </c>
      <c r="H75" s="16" t="n">
        <f aca="false">IF(AND($C$55=0,H$61=$C$57),H64-H63*($C$59+$C$53)-MAX(0,H64-H63*$C$59)*Inputs!$C$11,0)</f>
        <v>0</v>
      </c>
      <c r="I75" s="16" t="n">
        <f aca="false">IF(AND($C$55=0,I$61=$C$57),I64-I63*($C$59+$C$53)-MAX(0,I64-I63*$C$59)*Inputs!$C$11,0)</f>
        <v>0</v>
      </c>
      <c r="J75" s="16" t="n">
        <f aca="false">IF(AND($C$55=0,J$61=$C$57),J64-J63*($C$59+$C$53)-MAX(0,J64-J63*$C$59)*Inputs!$C$11,0)</f>
        <v>0</v>
      </c>
      <c r="K75" s="16" t="n">
        <f aca="false">IF(AND($C$55=0,K$61=$C$57),K64-K63*($C$59+$C$53)-MAX(0,K64-K63*$C$59)*Inputs!$C$11,0)</f>
        <v>0</v>
      </c>
      <c r="L75" s="16" t="n">
        <f aca="false">IF(AND($C$55=0,L$61=$C$57),L64-L63*($C$59+$C$53)-MAX(0,L64-L63*$C$59)*Inputs!$C$11,0)</f>
        <v>0</v>
      </c>
      <c r="M75" s="16" t="n">
        <f aca="false">IF(AND($C$55=0,M$61=$C$57),M64-M63*($C$59+$C$53)-MAX(0,M64-M63*$C$59)*Inputs!$C$11,0)</f>
        <v>0</v>
      </c>
      <c r="N75" s="16" t="n">
        <f aca="false">IF(AND($C$55=0,N$61=$C$57),N64-N63*($C$59+$C$53)-MAX(0,N64-N63*$C$59)*Inputs!$C$11,0)</f>
        <v>0</v>
      </c>
      <c r="O75" s="16" t="n">
        <f aca="false">IF(AND($C$55=0,O$61=$C$57),O64-O63*($C$59+$C$53)-MAX(0,O64-O63*$C$59)*Inputs!$C$11,0)</f>
        <v>0</v>
      </c>
      <c r="P75" s="16" t="n">
        <f aca="false">IF(AND($C$55=0,P$61=$C$57),P64-P63*($C$59+$C$53)-MAX(0,P64-P63*$C$59)*Inputs!$C$11,0)</f>
        <v>0</v>
      </c>
      <c r="Q75" s="16" t="n">
        <f aca="false">IF(AND($C$55=0,Q$61=$C$57),Q64-Q63*($C$59+$C$53)-MAX(0,Q64-Q63*$C$59)*Inputs!$C$11,0)</f>
        <v>0</v>
      </c>
      <c r="R75" s="16" t="n">
        <f aca="false">IF(AND($C$55=0,R$61=$C$57),R64-R63*($C$59+$C$53)-MAX(0,R64-R63*$C$59)*Inputs!$C$11,0)</f>
        <v>0</v>
      </c>
      <c r="S75" s="16" t="n">
        <f aca="false">IF(AND($C$55=0,S$61=$C$57),S64-S63*($C$59+$C$53)-MAX(0,S64-S63*$C$59)*Inputs!$C$11,0)</f>
        <v>0</v>
      </c>
      <c r="T75" s="16" t="n">
        <f aca="false">IF(AND($C$55=0,T$61=$C$57),T64-T63*($C$59+$C$53)-MAX(0,T64-T63*$C$59)*Inputs!$C$11,0)</f>
        <v>0</v>
      </c>
      <c r="U75" s="16" t="n">
        <f aca="false">IF(AND($C$55=0,U$61=$C$57),U64-U63*($C$59+$C$53)-MAX(0,U64-U63*$C$59)*Inputs!$C$11,0)</f>
        <v>0</v>
      </c>
      <c r="V75" s="16" t="n">
        <f aca="false">IF(AND($C$55=0,V$61=$C$57),V64-V63*($C$59+$C$53)-MAX(0,V64-V63*$C$59)*Inputs!$C$11,0)</f>
        <v>0</v>
      </c>
      <c r="W75" s="16" t="n">
        <f aca="false">IF(AND($C$55=0,W$61=$C$57),W64-W63*($C$59+$C$53)-MAX(0,W64-W63*$C$59)*Inputs!$C$11,0)</f>
        <v>0</v>
      </c>
      <c r="X75" s="16" t="n">
        <f aca="false">IF(AND($C$55=0,X$61=$C$57),X64-X63*($C$59+$C$53)-MAX(0,X64-X63*$C$59)*Inputs!$C$11,0)</f>
        <v>0</v>
      </c>
      <c r="Y75" s="16" t="n">
        <f aca="false">IF(AND($C$55=0,Y$61=$C$57),Y64-Y63*($C$59+$C$53)-MAX(0,Y64-Y63*$C$59)*Inputs!$C$11,0)</f>
        <v>0</v>
      </c>
      <c r="Z75" s="16" t="n">
        <f aca="false">IF(AND($C$55=0,Z$61=$C$57),Z64-Z63*($C$59+$C$53)-MAX(0,Z64-Z63*$C$59)*Inputs!$C$11,0)</f>
        <v>0</v>
      </c>
      <c r="AA75" s="16" t="n">
        <f aca="false">IF(AND($C$55=0,AA$61=$C$57),AA64-AA63*($C$59+$C$53)-MAX(0,AA64-AA63*$C$59)*Inputs!$C$11,0)</f>
        <v>0</v>
      </c>
      <c r="AB75" s="16" t="n">
        <f aca="false">IF(AND($C$55=0,AB$61=$C$57),AB64-AB63*($C$59+$C$53)-MAX(0,AB64-AB63*$C$59)*Inputs!$C$11,0)</f>
        <v>0</v>
      </c>
      <c r="AC75" s="16" t="n">
        <f aca="false">IF(AND($C$55=0,AC$61=$C$57),AC64-AC63*($C$59+$C$53)-MAX(0,AC64-AC63*$C$59)*Inputs!$C$11,0)</f>
        <v>0</v>
      </c>
      <c r="AD75" s="16" t="n">
        <f aca="false">IF(AND($C$55=0,AD$61=$C$57),AD64-AD63*($C$59+$C$53)-MAX(0,AD64-AD63*$C$59)*Inputs!$C$11,0)</f>
        <v>0</v>
      </c>
      <c r="AE75" s="16" t="n">
        <f aca="false">IF(AND($C$55=0,AE$61=$C$57),AE64-AE63*($C$59+$C$53)-MAX(0,AE64-AE63*$C$59)*Inputs!$C$11,0)</f>
        <v>0</v>
      </c>
      <c r="AF75" s="16" t="n">
        <f aca="false">IF(AND($C$55=0,AF$61=$C$57),AF64-AF63*($C$59+$C$53)-MAX(0,AF64-AF63*$C$59)*Inputs!$C$11,0)</f>
        <v>0</v>
      </c>
      <c r="AG75" s="16" t="n">
        <f aca="false">IF(AND($C$55=0,AG$61=$C$57),AG64-AG63*($C$59+$C$53)-MAX(0,AG64-AG63*$C$59)*Inputs!$C$11,0)</f>
        <v>0</v>
      </c>
      <c r="AH75" s="16" t="n">
        <f aca="false">IF(AND($C$55=0,AH$61=$C$57),AH64-AH63*($C$59+$C$53)-MAX(0,AH64-AH63*$C$59)*Inputs!$C$11,0)</f>
        <v>0</v>
      </c>
      <c r="AI75" s="16" t="n">
        <f aca="false">IF(AND($C$55=0,AI$61=$C$57),AI64-AI63*($C$59+$C$53)-MAX(0,AI64-AI63*$C$59)*Inputs!$C$11,0)</f>
        <v>0</v>
      </c>
      <c r="AJ75" s="16" t="n">
        <f aca="false">IF(AND($C$55=0,AJ$61=$C$57),AJ64-AJ63*($C$59+$C$53)-MAX(0,AJ64-AJ63*$C$59)*Inputs!$C$11,0)</f>
        <v>0</v>
      </c>
      <c r="AK75" s="16" t="n">
        <f aca="false">IF(AND($C$55=0,AK$61=$C$57),AK64-AK63*($C$59+$C$53)-MAX(0,AK64-AK63*$C$59)*Inputs!$C$11,0)</f>
        <v>0</v>
      </c>
      <c r="AL75" s="16" t="n">
        <f aca="false">IF(AND($C$55=0,AL$61=$C$57),AL64-AL63*($C$59+$C$53)-MAX(0,AL64-AL63*$C$59)*Inputs!$C$11,0)</f>
        <v>0</v>
      </c>
      <c r="AM75" s="16" t="n">
        <f aca="false">IF(AND($C$55=0,AM$61=$C$57),AM64-AM63*($C$59+$C$53)-MAX(0,AM64-AM63*$C$59)*Inputs!$C$11,0)</f>
        <v>0</v>
      </c>
      <c r="AN75" s="16" t="n">
        <f aca="false">IF(AND($C$55=0,AN$61=$C$57),AN64-AN63*($C$59+$C$53)-MAX(0,AN64-AN63*$C$59)*Inputs!$C$11,0)</f>
        <v>0</v>
      </c>
      <c r="AO75" s="16" t="n">
        <f aca="false">IF(AND($C$55=0,AO$61=$C$57),AO64-AO63*($C$59+$C$53)-MAX(0,AO64-AO63*$C$59)*Inputs!$C$11,0)</f>
        <v>0</v>
      </c>
      <c r="AP75" s="16" t="n">
        <f aca="false">IF(AND($C$55=0,AP$61=$C$57),AP64-AP63*($C$59+$C$53)-MAX(0,AP64-AP63*$C$59)*Inputs!$C$11,0)</f>
        <v>0</v>
      </c>
      <c r="AQ75" s="16" t="n">
        <f aca="false">IF(AND($C$55=0,AQ$61=$C$57),AQ64-AQ63*($C$59+$C$53)-MAX(0,AQ64-AQ63*$C$59)*Inputs!$C$11,0)</f>
        <v>0</v>
      </c>
      <c r="AR75" s="16" t="n">
        <f aca="false">IF(AND($C$55=0,AR$61=$C$57),AR64-AR63*($C$59+$C$53)-MAX(0,AR64-AR63*$C$59)*Inputs!$C$11,0)</f>
        <v>0</v>
      </c>
      <c r="AS75" s="16" t="n">
        <f aca="false">IF(AND($C$55=0,AS$61=$C$57),AS64-AS63*($C$59+$C$53)-MAX(0,AS64-AS63*$C$59)*Inputs!$C$11,0)</f>
        <v>0</v>
      </c>
      <c r="AT75" s="16" t="n">
        <f aca="false">IF(AND($C$55=0,AT$61=$C$57),AT64-AT63*($C$59+$C$53)-MAX(0,AT64-AT63*$C$59)*Inputs!$C$11,0)</f>
        <v>0</v>
      </c>
      <c r="AU75" s="16" t="n">
        <f aca="false">IF(AND($C$55=0,AU$61=$C$57),AU64-AU63*($C$59+$C$53)-MAX(0,AU64-AU63*$C$59)*Inputs!$C$11,0)</f>
        <v>0</v>
      </c>
      <c r="AV75" s="16" t="n">
        <f aca="false">IF(AND($C$55=0,AV$61=$C$57),AV64-AV63*($C$59+$C$53)-MAX(0,AV64-AV63*$C$59)*Inputs!$C$11,0)</f>
        <v>0</v>
      </c>
    </row>
    <row r="76" customFormat="false" ht="15" hidden="false" customHeight="false" outlineLevel="0" collapsed="false">
      <c r="B76" s="7" t="s">
        <v>151</v>
      </c>
      <c r="D76" s="16" t="n">
        <f aca="false">D75*(1+$C$58)/($C$54-$C$58)*D73</f>
        <v>0</v>
      </c>
      <c r="E76" s="16" t="n">
        <f aca="false">E75*(1+$C$58)/($C$54-$C$58)*E73</f>
        <v>0</v>
      </c>
      <c r="F76" s="16" t="n">
        <f aca="false">F75*(1+$C$58)/($C$54-$C$58)*F73</f>
        <v>0</v>
      </c>
      <c r="G76" s="16" t="n">
        <f aca="false">G75*(1+$C$58)/($C$54-$C$58)*G73</f>
        <v>0</v>
      </c>
      <c r="H76" s="16" t="n">
        <f aca="false">H75*(1+$C$58)/($C$54-$C$58)*H73</f>
        <v>0</v>
      </c>
      <c r="I76" s="16" t="n">
        <f aca="false">I75*(1+$C$58)/($C$54-$C$58)*I73</f>
        <v>0</v>
      </c>
      <c r="J76" s="16" t="n">
        <f aca="false">J75*(1+$C$58)/($C$54-$C$58)*J73</f>
        <v>0</v>
      </c>
      <c r="K76" s="16" t="n">
        <f aca="false">K75*(1+$C$58)/($C$54-$C$58)*K73</f>
        <v>0</v>
      </c>
      <c r="L76" s="16" t="n">
        <f aca="false">L75*(1+$C$58)/($C$54-$C$58)*L73</f>
        <v>0</v>
      </c>
      <c r="M76" s="16" t="n">
        <f aca="false">M75*(1+$C$58)/($C$54-$C$58)*M73</f>
        <v>0</v>
      </c>
      <c r="N76" s="16" t="n">
        <f aca="false">N75*(1+$C$58)/($C$54-$C$58)*N73</f>
        <v>0</v>
      </c>
      <c r="O76" s="16" t="n">
        <f aca="false">O75*(1+$C$58)/($C$54-$C$58)*O73</f>
        <v>0</v>
      </c>
      <c r="P76" s="16" t="n">
        <f aca="false">P75*(1+$C$58)/($C$54-$C$58)*P73</f>
        <v>0</v>
      </c>
      <c r="Q76" s="16" t="n">
        <f aca="false">Q75*(1+$C$58)/($C$54-$C$58)*Q73</f>
        <v>0</v>
      </c>
      <c r="R76" s="16" t="n">
        <f aca="false">R75*(1+$C$58)/($C$54-$C$58)*R73</f>
        <v>0</v>
      </c>
      <c r="S76" s="16" t="n">
        <f aca="false">S75*(1+$C$58)/($C$54-$C$58)*S73</f>
        <v>0</v>
      </c>
      <c r="T76" s="16" t="n">
        <f aca="false">T75*(1+$C$58)/($C$54-$C$58)*T73</f>
        <v>0</v>
      </c>
      <c r="U76" s="16" t="n">
        <f aca="false">U75*(1+$C$58)/($C$54-$C$58)*U73</f>
        <v>0</v>
      </c>
      <c r="V76" s="16" t="n">
        <f aca="false">V75*(1+$C$58)/($C$54-$C$58)*V73</f>
        <v>0</v>
      </c>
      <c r="W76" s="16" t="n">
        <f aca="false">W75*(1+$C$58)/($C$54-$C$58)*W73</f>
        <v>0</v>
      </c>
      <c r="X76" s="16" t="n">
        <f aca="false">X75*(1+$C$58)/($C$54-$C$58)*X73</f>
        <v>0</v>
      </c>
      <c r="Y76" s="16" t="n">
        <f aca="false">Y75*(1+$C$58)/($C$54-$C$58)*Y73</f>
        <v>0</v>
      </c>
      <c r="Z76" s="16" t="n">
        <f aca="false">Z75*(1+$C$58)/($C$54-$C$58)*Z73</f>
        <v>0</v>
      </c>
      <c r="AA76" s="16" t="n">
        <f aca="false">AA75*(1+$C$58)/($C$54-$C$58)*AA73</f>
        <v>0</v>
      </c>
      <c r="AB76" s="16" t="n">
        <f aca="false">AB75*(1+$C$58)/($C$54-$C$58)*AB73</f>
        <v>0</v>
      </c>
      <c r="AC76" s="16" t="n">
        <f aca="false">AC75*(1+$C$58)/($C$54-$C$58)*AC73</f>
        <v>0</v>
      </c>
      <c r="AD76" s="16" t="n">
        <f aca="false">AD75*(1+$C$58)/($C$54-$C$58)*AD73</f>
        <v>0</v>
      </c>
      <c r="AE76" s="16" t="n">
        <f aca="false">AE75*(1+$C$58)/($C$54-$C$58)*AE73</f>
        <v>0</v>
      </c>
      <c r="AF76" s="16" t="n">
        <f aca="false">AF75*(1+$C$58)/($C$54-$C$58)*AF73</f>
        <v>0</v>
      </c>
      <c r="AG76" s="16" t="n">
        <f aca="false">AG75*(1+$C$58)/($C$54-$C$58)*AG73</f>
        <v>0</v>
      </c>
      <c r="AH76" s="16" t="n">
        <f aca="false">AH75*(1+$C$58)/($C$54-$C$58)*AH73</f>
        <v>0</v>
      </c>
      <c r="AI76" s="16" t="n">
        <f aca="false">AI75*(1+$C$58)/($C$54-$C$58)*AI73</f>
        <v>0</v>
      </c>
      <c r="AJ76" s="16" t="n">
        <f aca="false">AJ75*(1+$C$58)/($C$54-$C$58)*AJ73</f>
        <v>0</v>
      </c>
      <c r="AK76" s="16" t="n">
        <f aca="false">AK75*(1+$C$58)/($C$54-$C$58)*AK73</f>
        <v>0</v>
      </c>
      <c r="AL76" s="16" t="n">
        <f aca="false">AL75*(1+$C$58)/($C$54-$C$58)*AL73</f>
        <v>0</v>
      </c>
      <c r="AM76" s="16" t="n">
        <f aca="false">AM75*(1+$C$58)/($C$54-$C$58)*AM73</f>
        <v>0</v>
      </c>
      <c r="AN76" s="16" t="n">
        <f aca="false">AN75*(1+$C$58)/($C$54-$C$58)*AN73</f>
        <v>0</v>
      </c>
      <c r="AO76" s="16" t="n">
        <f aca="false">AO75*(1+$C$58)/($C$54-$C$58)*AO73</f>
        <v>0</v>
      </c>
      <c r="AP76" s="16" t="n">
        <f aca="false">AP75*(1+$C$58)/($C$54-$C$58)*AP73</f>
        <v>0</v>
      </c>
      <c r="AQ76" s="16" t="n">
        <f aca="false">AQ75*(1+$C$58)/($C$54-$C$58)*AQ73</f>
        <v>0</v>
      </c>
      <c r="AR76" s="16" t="n">
        <f aca="false">AR75*(1+$C$58)/($C$54-$C$58)*AR73</f>
        <v>0</v>
      </c>
      <c r="AS76" s="16" t="n">
        <f aca="false">AS75*(1+$C$58)/($C$54-$C$58)*AS73</f>
        <v>0</v>
      </c>
      <c r="AT76" s="16" t="n">
        <f aca="false">AT75*(1+$C$58)/($C$54-$C$58)*AT73</f>
        <v>0</v>
      </c>
      <c r="AU76" s="16" t="n">
        <f aca="false">AU75*(1+$C$58)/($C$54-$C$58)*AU73</f>
        <v>0</v>
      </c>
      <c r="AV76" s="16" t="n">
        <f aca="false">AV75*(1+$C$58)/($C$54-$C$58)*AV73</f>
        <v>0</v>
      </c>
    </row>
    <row r="78" customFormat="false" ht="15" hidden="false" customHeight="false" outlineLevel="0" collapsed="false">
      <c r="B78" s="7" t="s">
        <v>152</v>
      </c>
      <c r="C78" s="16" t="n">
        <f aca="false">SUM($D$74:$AV$74)</f>
        <v>2669.71727902801</v>
      </c>
    </row>
    <row r="79" customFormat="false" ht="15" hidden="false" customHeight="false" outlineLevel="0" collapsed="false">
      <c r="B79" s="7" t="s">
        <v>151</v>
      </c>
      <c r="C79" s="16" t="n">
        <f aca="false">SUM($D$76:$AV$76)</f>
        <v>0</v>
      </c>
    </row>
    <row r="80" customFormat="false" ht="15" hidden="false" customHeight="false" outlineLevel="0" collapsed="false">
      <c r="B80" s="12" t="s">
        <v>160</v>
      </c>
      <c r="C80" s="13" t="n">
        <f aca="false">C78+C79</f>
        <v>2669.71727902801</v>
      </c>
    </row>
    <row r="81" customFormat="false" ht="15" hidden="false" customHeight="false" outlineLevel="0" collapsed="false">
      <c r="B81" s="7" t="s">
        <v>154</v>
      </c>
      <c r="C81" s="10" t="n">
        <f aca="false">IF(C80=0,0,C79/C80)</f>
        <v>0</v>
      </c>
    </row>
    <row r="82" customFormat="false" ht="15" hidden="false" customHeight="false" outlineLevel="0" collapsed="false">
      <c r="B82" s="7" t="s">
        <v>155</v>
      </c>
      <c r="C82" s="41" t="n">
        <f aca="false">IF(D64=0,0,C80/D64)</f>
        <v>3.93757241539841</v>
      </c>
    </row>
    <row r="83" customFormat="false" ht="15" hidden="false" customHeight="false" outlineLevel="0" collapsed="false">
      <c r="B83" s="7" t="s">
        <v>156</v>
      </c>
      <c r="C83" s="16" t="n">
        <f aca="false">SUM($D$75:$AV$75)</f>
        <v>0</v>
      </c>
    </row>
    <row r="84" customFormat="false" ht="15" hidden="false" customHeight="false" outlineLevel="0" collapsed="false">
      <c r="B84" s="7" t="s">
        <v>157</v>
      </c>
      <c r="C84" s="37" t="n">
        <f aca="false">SUMPRODUCT(($D$61:$AV$61=$C$57)*$D$72:$AV$72)</f>
        <v>0</v>
      </c>
    </row>
    <row r="85" customFormat="false" ht="15" hidden="false" customHeight="false" outlineLevel="0" collapsed="false">
      <c r="B85" s="12" t="s">
        <v>158</v>
      </c>
      <c r="C85" s="12" t="str">
        <f aca="false">IF(AND($C$54&gt;$C$58,SUMPRODUCT(($D$61:$AV$61&gt;YEAR($C$56))*($C$55=1)*ABS($D$71:$AV$71))=0),"OK","REVISAR")</f>
        <v>OK</v>
      </c>
    </row>
    <row r="88" customFormat="false" ht="15" hidden="false" customHeight="false" outlineLevel="0" collapsed="false">
      <c r="B88" s="22" t="s">
        <v>27</v>
      </c>
      <c r="C88" s="22"/>
      <c r="D88" s="22"/>
      <c r="E88" s="22"/>
      <c r="F88" s="22"/>
    </row>
    <row r="89" customFormat="false" ht="15" hidden="false" customHeight="true" outlineLevel="0" collapsed="false">
      <c r="B89" s="7" t="s">
        <v>122</v>
      </c>
      <c r="C89" s="31" t="n">
        <v>1684</v>
      </c>
      <c r="D89" s="33" t="s">
        <v>161</v>
      </c>
      <c r="E89" s="33"/>
      <c r="F89" s="33"/>
      <c r="G89" s="33"/>
      <c r="H89" s="33"/>
      <c r="I89" s="33"/>
      <c r="J89" s="33"/>
      <c r="K89" s="33"/>
      <c r="L89" s="33"/>
      <c r="M89" s="33"/>
      <c r="N89" s="33"/>
    </row>
    <row r="90" customFormat="false" ht="15" hidden="false" customHeight="false" outlineLevel="0" collapsed="false">
      <c r="B90" s="7" t="s">
        <v>124</v>
      </c>
      <c r="C90" s="29" t="n">
        <v>-0.007</v>
      </c>
      <c r="D90" s="33"/>
      <c r="E90" s="33"/>
      <c r="F90" s="33"/>
      <c r="G90" s="33"/>
      <c r="H90" s="33"/>
      <c r="I90" s="33"/>
      <c r="J90" s="33"/>
      <c r="K90" s="33"/>
      <c r="L90" s="33"/>
      <c r="M90" s="33"/>
      <c r="N90" s="33"/>
    </row>
    <row r="91" customFormat="false" ht="15" hidden="false" customHeight="false" outlineLevel="0" collapsed="false">
      <c r="B91" s="7" t="s">
        <v>125</v>
      </c>
      <c r="C91" s="30" t="n">
        <v>0.021</v>
      </c>
      <c r="D91" s="33"/>
      <c r="E91" s="33"/>
      <c r="F91" s="33"/>
      <c r="G91" s="33"/>
      <c r="H91" s="33"/>
      <c r="I91" s="33"/>
      <c r="J91" s="33"/>
      <c r="K91" s="33"/>
      <c r="L91" s="33"/>
      <c r="M91" s="33"/>
      <c r="N91" s="33"/>
    </row>
    <row r="92" customFormat="false" ht="15" hidden="false" customHeight="false" outlineLevel="0" collapsed="false">
      <c r="B92" s="7" t="s">
        <v>126</v>
      </c>
      <c r="C92" s="29" t="n">
        <v>0.7105</v>
      </c>
      <c r="D92" s="33"/>
      <c r="E92" s="33"/>
      <c r="F92" s="33"/>
      <c r="G92" s="33"/>
      <c r="H92" s="33"/>
      <c r="I92" s="33"/>
      <c r="J92" s="33"/>
      <c r="K92" s="33"/>
      <c r="L92" s="33"/>
      <c r="M92" s="33"/>
      <c r="N92" s="33"/>
    </row>
    <row r="93" customFormat="false" ht="15" hidden="false" customHeight="false" outlineLevel="0" collapsed="false">
      <c r="B93" s="7" t="s">
        <v>127</v>
      </c>
      <c r="C93" s="29" t="n">
        <v>0.2232</v>
      </c>
      <c r="D93" s="33"/>
      <c r="E93" s="33"/>
      <c r="F93" s="33"/>
      <c r="G93" s="33"/>
      <c r="H93" s="33"/>
      <c r="I93" s="33"/>
      <c r="J93" s="33"/>
      <c r="K93" s="33"/>
      <c r="L93" s="33"/>
      <c r="M93" s="33"/>
      <c r="N93" s="33"/>
    </row>
    <row r="94" customFormat="false" ht="15" hidden="false" customHeight="false" outlineLevel="0" collapsed="false">
      <c r="B94" s="7" t="s">
        <v>128</v>
      </c>
      <c r="C94" s="29" t="n">
        <v>0.0873</v>
      </c>
      <c r="D94" s="33"/>
      <c r="E94" s="33"/>
      <c r="F94" s="33"/>
      <c r="G94" s="33"/>
      <c r="H94" s="33"/>
      <c r="I94" s="33"/>
      <c r="J94" s="33"/>
      <c r="K94" s="33"/>
      <c r="L94" s="33"/>
      <c r="M94" s="33"/>
      <c r="N94" s="33"/>
    </row>
    <row r="95" customFormat="false" ht="15" hidden="false" customHeight="false" outlineLevel="0" collapsed="false">
      <c r="B95" s="7" t="s">
        <v>129</v>
      </c>
      <c r="C95" s="29" t="n">
        <v>0.0018</v>
      </c>
      <c r="D95" s="33"/>
      <c r="E95" s="33"/>
      <c r="F95" s="33"/>
      <c r="G95" s="33"/>
      <c r="H95" s="33"/>
      <c r="I95" s="33"/>
      <c r="J95" s="33"/>
      <c r="K95" s="33"/>
      <c r="L95" s="33"/>
      <c r="M95" s="33"/>
      <c r="N95" s="33"/>
    </row>
    <row r="96" customFormat="false" ht="15" hidden="false" customHeight="false" outlineLevel="0" collapsed="false">
      <c r="B96" s="7" t="s">
        <v>130</v>
      </c>
      <c r="C96" s="30" t="n">
        <v>0.065</v>
      </c>
      <c r="D96" s="33"/>
      <c r="E96" s="33"/>
      <c r="F96" s="33"/>
      <c r="G96" s="33"/>
      <c r="H96" s="33"/>
      <c r="I96" s="33"/>
      <c r="J96" s="33"/>
      <c r="K96" s="33"/>
      <c r="L96" s="33"/>
      <c r="M96" s="33"/>
      <c r="N96" s="33"/>
    </row>
    <row r="97" customFormat="false" ht="15" hidden="false" customHeight="false" outlineLevel="0" collapsed="false">
      <c r="B97" s="7" t="s">
        <v>131</v>
      </c>
      <c r="C97" s="34" t="n">
        <v>1</v>
      </c>
      <c r="D97" s="33"/>
      <c r="E97" s="33"/>
      <c r="F97" s="33"/>
      <c r="G97" s="33"/>
      <c r="H97" s="33"/>
      <c r="I97" s="33"/>
      <c r="J97" s="33"/>
      <c r="K97" s="33"/>
      <c r="L97" s="33"/>
      <c r="M97" s="33"/>
      <c r="N97" s="33"/>
    </row>
    <row r="98" customFormat="false" ht="15" hidden="false" customHeight="false" outlineLevel="0" collapsed="false">
      <c r="B98" s="7" t="s">
        <v>132</v>
      </c>
      <c r="C98" s="35" t="n">
        <v>49309</v>
      </c>
      <c r="D98" s="33"/>
      <c r="E98" s="33"/>
      <c r="F98" s="33"/>
      <c r="G98" s="33"/>
      <c r="H98" s="33"/>
      <c r="I98" s="33"/>
      <c r="J98" s="33"/>
      <c r="K98" s="33"/>
      <c r="L98" s="33"/>
      <c r="M98" s="33"/>
      <c r="N98" s="33"/>
    </row>
    <row r="99" customFormat="false" ht="15" hidden="false" customHeight="false" outlineLevel="0" collapsed="false">
      <c r="B99" s="7" t="s">
        <v>133</v>
      </c>
      <c r="C99" s="34" t="n">
        <v>0</v>
      </c>
      <c r="D99" s="33"/>
      <c r="E99" s="33"/>
      <c r="F99" s="33"/>
      <c r="G99" s="33"/>
      <c r="H99" s="33"/>
      <c r="I99" s="33"/>
      <c r="J99" s="33"/>
      <c r="K99" s="33"/>
      <c r="L99" s="33"/>
      <c r="M99" s="33"/>
      <c r="N99" s="33"/>
    </row>
    <row r="100" customFormat="false" ht="15" hidden="false" customHeight="false" outlineLevel="0" collapsed="false">
      <c r="B100" s="7" t="s">
        <v>134</v>
      </c>
      <c r="C100" s="30" t="n">
        <v>0</v>
      </c>
      <c r="D100" s="33"/>
      <c r="E100" s="33"/>
      <c r="F100" s="33"/>
      <c r="G100" s="33"/>
      <c r="H100" s="33"/>
      <c r="I100" s="33"/>
      <c r="J100" s="33"/>
      <c r="K100" s="33"/>
      <c r="L100" s="33"/>
      <c r="M100" s="33"/>
      <c r="N100" s="33"/>
    </row>
    <row r="101" customFormat="false" ht="15" hidden="false" customHeight="false" outlineLevel="0" collapsed="false">
      <c r="B101" s="7" t="s">
        <v>135</v>
      </c>
      <c r="C101" s="29" t="n">
        <v>0</v>
      </c>
      <c r="D101" s="33"/>
      <c r="E101" s="33"/>
      <c r="F101" s="33"/>
      <c r="G101" s="33"/>
      <c r="H101" s="33"/>
      <c r="I101" s="33"/>
      <c r="J101" s="33"/>
      <c r="K101" s="33"/>
      <c r="L101" s="33"/>
      <c r="M101" s="33"/>
      <c r="N101" s="33"/>
    </row>
    <row r="103" customFormat="false" ht="15" hidden="false" customHeight="false" outlineLevel="0" collapsed="false">
      <c r="B103" s="6" t="s">
        <v>136</v>
      </c>
      <c r="D103" s="36" t="n">
        <v>2026</v>
      </c>
      <c r="E103" s="36" t="n">
        <v>2027</v>
      </c>
      <c r="F103" s="36" t="n">
        <v>2028</v>
      </c>
      <c r="G103" s="36" t="n">
        <v>2029</v>
      </c>
      <c r="H103" s="36" t="n">
        <v>2030</v>
      </c>
      <c r="I103" s="36" t="n">
        <v>2031</v>
      </c>
      <c r="J103" s="36" t="n">
        <v>2032</v>
      </c>
      <c r="K103" s="36" t="n">
        <v>2033</v>
      </c>
      <c r="L103" s="36" t="n">
        <v>2034</v>
      </c>
      <c r="M103" s="36" t="n">
        <v>2035</v>
      </c>
      <c r="N103" s="36" t="n">
        <v>2036</v>
      </c>
      <c r="O103" s="36" t="n">
        <v>2037</v>
      </c>
      <c r="P103" s="36" t="n">
        <v>2038</v>
      </c>
      <c r="Q103" s="36" t="n">
        <v>2039</v>
      </c>
      <c r="R103" s="36" t="n">
        <v>2040</v>
      </c>
      <c r="S103" s="36" t="n">
        <v>2041</v>
      </c>
      <c r="T103" s="36" t="n">
        <v>2042</v>
      </c>
      <c r="U103" s="36" t="n">
        <v>2043</v>
      </c>
      <c r="V103" s="36" t="n">
        <v>2044</v>
      </c>
      <c r="W103" s="36" t="n">
        <v>2045</v>
      </c>
      <c r="X103" s="36" t="n">
        <v>2046</v>
      </c>
      <c r="Y103" s="36" t="n">
        <v>2047</v>
      </c>
      <c r="Z103" s="36" t="n">
        <v>2048</v>
      </c>
      <c r="AA103" s="36" t="n">
        <v>2049</v>
      </c>
      <c r="AB103" s="36" t="n">
        <v>2050</v>
      </c>
      <c r="AC103" s="36" t="n">
        <v>2051</v>
      </c>
      <c r="AD103" s="36" t="n">
        <v>2052</v>
      </c>
      <c r="AE103" s="36" t="n">
        <v>2053</v>
      </c>
      <c r="AF103" s="36" t="n">
        <v>2054</v>
      </c>
      <c r="AG103" s="36" t="n">
        <v>2055</v>
      </c>
      <c r="AH103" s="36" t="n">
        <v>2056</v>
      </c>
      <c r="AI103" s="36" t="n">
        <v>2057</v>
      </c>
      <c r="AJ103" s="36" t="n">
        <v>2058</v>
      </c>
      <c r="AK103" s="36" t="n">
        <v>2059</v>
      </c>
      <c r="AL103" s="36" t="n">
        <v>2060</v>
      </c>
      <c r="AM103" s="36" t="n">
        <v>2061</v>
      </c>
      <c r="AN103" s="36" t="n">
        <v>2062</v>
      </c>
      <c r="AO103" s="36" t="n">
        <v>2063</v>
      </c>
      <c r="AP103" s="36" t="n">
        <v>2064</v>
      </c>
      <c r="AQ103" s="36" t="n">
        <v>2065</v>
      </c>
      <c r="AR103" s="36" t="n">
        <v>2066</v>
      </c>
      <c r="AS103" s="36" t="n">
        <v>2067</v>
      </c>
      <c r="AT103" s="36" t="n">
        <v>2068</v>
      </c>
      <c r="AU103" s="36" t="n">
        <v>2069</v>
      </c>
      <c r="AV103" s="36" t="n">
        <v>2070</v>
      </c>
    </row>
    <row r="104" customFormat="false" ht="15" hidden="false" customHeight="false" outlineLevel="0" collapsed="false">
      <c r="B104" s="7" t="s">
        <v>137</v>
      </c>
      <c r="D104" s="37" t="n">
        <f aca="false">IF($C$97=1,MAX(0,MIN(DATE(D$103,12,31),$C$98)-MAX(Inputs!$C$5+1,DATE(D$103,1,1))+1)/365,IF(D$103&lt;=$C$99,(DATE(D$103,12,31)-MAX(Inputs!$C$5+1,DATE(D$103,1,1))+1)/365,0))</f>
        <v>0.504109589041096</v>
      </c>
      <c r="E104" s="37" t="n">
        <f aca="false">IF($C$97=1,MAX(0,MIN(DATE(E$103,12,31),$C$98)-MAX(Inputs!$C$5+1,DATE(E$103,1,1))+1)/365,IF(E$103&lt;=$C$99,(DATE(E$103,12,31)-MAX(Inputs!$C$5+1,DATE(E$103,1,1))+1)/365,0))</f>
        <v>1</v>
      </c>
      <c r="F104" s="37" t="n">
        <f aca="false">IF($C$97=1,MAX(0,MIN(DATE(F$103,12,31),$C$98)-MAX(Inputs!$C$5+1,DATE(F$103,1,1))+1)/365,IF(F$103&lt;=$C$99,(DATE(F$103,12,31)-MAX(Inputs!$C$5+1,DATE(F$103,1,1))+1)/365,0))</f>
        <v>1.0027397260274</v>
      </c>
      <c r="G104" s="37" t="n">
        <f aca="false">IF($C$97=1,MAX(0,MIN(DATE(G$103,12,31),$C$98)-MAX(Inputs!$C$5+1,DATE(G$103,1,1))+1)/365,IF(G$103&lt;=$C$99,(DATE(G$103,12,31)-MAX(Inputs!$C$5+1,DATE(G$103,1,1))+1)/365,0))</f>
        <v>1</v>
      </c>
      <c r="H104" s="37" t="n">
        <f aca="false">IF($C$97=1,MAX(0,MIN(DATE(H$103,12,31),$C$98)-MAX(Inputs!$C$5+1,DATE(H$103,1,1))+1)/365,IF(H$103&lt;=$C$99,(DATE(H$103,12,31)-MAX(Inputs!$C$5+1,DATE(H$103,1,1))+1)/365,0))</f>
        <v>1</v>
      </c>
      <c r="I104" s="37" t="n">
        <f aca="false">IF($C$97=1,MAX(0,MIN(DATE(I$103,12,31),$C$98)-MAX(Inputs!$C$5+1,DATE(I$103,1,1))+1)/365,IF(I$103&lt;=$C$99,(DATE(I$103,12,31)-MAX(Inputs!$C$5+1,DATE(I$103,1,1))+1)/365,0))</f>
        <v>1</v>
      </c>
      <c r="J104" s="37" t="n">
        <f aca="false">IF($C$97=1,MAX(0,MIN(DATE(J$103,12,31),$C$98)-MAX(Inputs!$C$5+1,DATE(J$103,1,1))+1)/365,IF(J$103&lt;=$C$99,(DATE(J$103,12,31)-MAX(Inputs!$C$5+1,DATE(J$103,1,1))+1)/365,0))</f>
        <v>1.0027397260274</v>
      </c>
      <c r="K104" s="37" t="n">
        <f aca="false">IF($C$97=1,MAX(0,MIN(DATE(K$103,12,31),$C$98)-MAX(Inputs!$C$5+1,DATE(K$103,1,1))+1)/365,IF(K$103&lt;=$C$99,(DATE(K$103,12,31)-MAX(Inputs!$C$5+1,DATE(K$103,1,1))+1)/365,0))</f>
        <v>1</v>
      </c>
      <c r="L104" s="37" t="n">
        <f aca="false">IF($C$97=1,MAX(0,MIN(DATE(L$103,12,31),$C$98)-MAX(Inputs!$C$5+1,DATE(L$103,1,1))+1)/365,IF(L$103&lt;=$C$99,(DATE(L$103,12,31)-MAX(Inputs!$C$5+1,DATE(L$103,1,1))+1)/365,0))</f>
        <v>1</v>
      </c>
      <c r="M104" s="37" t="n">
        <f aca="false">IF($C$97=1,MAX(0,MIN(DATE(M$103,12,31),$C$98)-MAX(Inputs!$C$5+1,DATE(M$103,1,1))+1)/365,IF(M$103&lt;=$C$99,(DATE(M$103,12,31)-MAX(Inputs!$C$5+1,DATE(M$103,1,1))+1)/365,0))</f>
        <v>0</v>
      </c>
      <c r="N104" s="37" t="n">
        <f aca="false">IF($C$97=1,MAX(0,MIN(DATE(N$103,12,31),$C$98)-MAX(Inputs!$C$5+1,DATE(N$103,1,1))+1)/365,IF(N$103&lt;=$C$99,(DATE(N$103,12,31)-MAX(Inputs!$C$5+1,DATE(N$103,1,1))+1)/365,0))</f>
        <v>0</v>
      </c>
      <c r="O104" s="37" t="n">
        <f aca="false">IF($C$97=1,MAX(0,MIN(DATE(O$103,12,31),$C$98)-MAX(Inputs!$C$5+1,DATE(O$103,1,1))+1)/365,IF(O$103&lt;=$C$99,(DATE(O$103,12,31)-MAX(Inputs!$C$5+1,DATE(O$103,1,1))+1)/365,0))</f>
        <v>0</v>
      </c>
      <c r="P104" s="37" t="n">
        <f aca="false">IF($C$97=1,MAX(0,MIN(DATE(P$103,12,31),$C$98)-MAX(Inputs!$C$5+1,DATE(P$103,1,1))+1)/365,IF(P$103&lt;=$C$99,(DATE(P$103,12,31)-MAX(Inputs!$C$5+1,DATE(P$103,1,1))+1)/365,0))</f>
        <v>0</v>
      </c>
      <c r="Q104" s="37" t="n">
        <f aca="false">IF($C$97=1,MAX(0,MIN(DATE(Q$103,12,31),$C$98)-MAX(Inputs!$C$5+1,DATE(Q$103,1,1))+1)/365,IF(Q$103&lt;=$C$99,(DATE(Q$103,12,31)-MAX(Inputs!$C$5+1,DATE(Q$103,1,1))+1)/365,0))</f>
        <v>0</v>
      </c>
      <c r="R104" s="37" t="n">
        <f aca="false">IF($C$97=1,MAX(0,MIN(DATE(R$103,12,31),$C$98)-MAX(Inputs!$C$5+1,DATE(R$103,1,1))+1)/365,IF(R$103&lt;=$C$99,(DATE(R$103,12,31)-MAX(Inputs!$C$5+1,DATE(R$103,1,1))+1)/365,0))</f>
        <v>0</v>
      </c>
      <c r="S104" s="37" t="n">
        <f aca="false">IF($C$97=1,MAX(0,MIN(DATE(S$103,12,31),$C$98)-MAX(Inputs!$C$5+1,DATE(S$103,1,1))+1)/365,IF(S$103&lt;=$C$99,(DATE(S$103,12,31)-MAX(Inputs!$C$5+1,DATE(S$103,1,1))+1)/365,0))</f>
        <v>0</v>
      </c>
      <c r="T104" s="37" t="n">
        <f aca="false">IF($C$97=1,MAX(0,MIN(DATE(T$103,12,31),$C$98)-MAX(Inputs!$C$5+1,DATE(T$103,1,1))+1)/365,IF(T$103&lt;=$C$99,(DATE(T$103,12,31)-MAX(Inputs!$C$5+1,DATE(T$103,1,1))+1)/365,0))</f>
        <v>0</v>
      </c>
      <c r="U104" s="37" t="n">
        <f aca="false">IF($C$97=1,MAX(0,MIN(DATE(U$103,12,31),$C$98)-MAX(Inputs!$C$5+1,DATE(U$103,1,1))+1)/365,IF(U$103&lt;=$C$99,(DATE(U$103,12,31)-MAX(Inputs!$C$5+1,DATE(U$103,1,1))+1)/365,0))</f>
        <v>0</v>
      </c>
      <c r="V104" s="37" t="n">
        <f aca="false">IF($C$97=1,MAX(0,MIN(DATE(V$103,12,31),$C$98)-MAX(Inputs!$C$5+1,DATE(V$103,1,1))+1)/365,IF(V$103&lt;=$C$99,(DATE(V$103,12,31)-MAX(Inputs!$C$5+1,DATE(V$103,1,1))+1)/365,0))</f>
        <v>0</v>
      </c>
      <c r="W104" s="37" t="n">
        <f aca="false">IF($C$97=1,MAX(0,MIN(DATE(W$103,12,31),$C$98)-MAX(Inputs!$C$5+1,DATE(W$103,1,1))+1)/365,IF(W$103&lt;=$C$99,(DATE(W$103,12,31)-MAX(Inputs!$C$5+1,DATE(W$103,1,1))+1)/365,0))</f>
        <v>0</v>
      </c>
      <c r="X104" s="37" t="n">
        <f aca="false">IF($C$97=1,MAX(0,MIN(DATE(X$103,12,31),$C$98)-MAX(Inputs!$C$5+1,DATE(X$103,1,1))+1)/365,IF(X$103&lt;=$C$99,(DATE(X$103,12,31)-MAX(Inputs!$C$5+1,DATE(X$103,1,1))+1)/365,0))</f>
        <v>0</v>
      </c>
      <c r="Y104" s="37" t="n">
        <f aca="false">IF($C$97=1,MAX(0,MIN(DATE(Y$103,12,31),$C$98)-MAX(Inputs!$C$5+1,DATE(Y$103,1,1))+1)/365,IF(Y$103&lt;=$C$99,(DATE(Y$103,12,31)-MAX(Inputs!$C$5+1,DATE(Y$103,1,1))+1)/365,0))</f>
        <v>0</v>
      </c>
      <c r="Z104" s="37" t="n">
        <f aca="false">IF($C$97=1,MAX(0,MIN(DATE(Z$103,12,31),$C$98)-MAX(Inputs!$C$5+1,DATE(Z$103,1,1))+1)/365,IF(Z$103&lt;=$C$99,(DATE(Z$103,12,31)-MAX(Inputs!$C$5+1,DATE(Z$103,1,1))+1)/365,0))</f>
        <v>0</v>
      </c>
      <c r="AA104" s="37" t="n">
        <f aca="false">IF($C$97=1,MAX(0,MIN(DATE(AA$103,12,31),$C$98)-MAX(Inputs!$C$5+1,DATE(AA$103,1,1))+1)/365,IF(AA$103&lt;=$C$99,(DATE(AA$103,12,31)-MAX(Inputs!$C$5+1,DATE(AA$103,1,1))+1)/365,0))</f>
        <v>0</v>
      </c>
      <c r="AB104" s="37" t="n">
        <f aca="false">IF($C$97=1,MAX(0,MIN(DATE(AB$103,12,31),$C$98)-MAX(Inputs!$C$5+1,DATE(AB$103,1,1))+1)/365,IF(AB$103&lt;=$C$99,(DATE(AB$103,12,31)-MAX(Inputs!$C$5+1,DATE(AB$103,1,1))+1)/365,0))</f>
        <v>0</v>
      </c>
      <c r="AC104" s="37" t="n">
        <f aca="false">IF($C$97=1,MAX(0,MIN(DATE(AC$103,12,31),$C$98)-MAX(Inputs!$C$5+1,DATE(AC$103,1,1))+1)/365,IF(AC$103&lt;=$C$99,(DATE(AC$103,12,31)-MAX(Inputs!$C$5+1,DATE(AC$103,1,1))+1)/365,0))</f>
        <v>0</v>
      </c>
      <c r="AD104" s="37" t="n">
        <f aca="false">IF($C$97=1,MAX(0,MIN(DATE(AD$103,12,31),$C$98)-MAX(Inputs!$C$5+1,DATE(AD$103,1,1))+1)/365,IF(AD$103&lt;=$C$99,(DATE(AD$103,12,31)-MAX(Inputs!$C$5+1,DATE(AD$103,1,1))+1)/365,0))</f>
        <v>0</v>
      </c>
      <c r="AE104" s="37" t="n">
        <f aca="false">IF($C$97=1,MAX(0,MIN(DATE(AE$103,12,31),$C$98)-MAX(Inputs!$C$5+1,DATE(AE$103,1,1))+1)/365,IF(AE$103&lt;=$C$99,(DATE(AE$103,12,31)-MAX(Inputs!$C$5+1,DATE(AE$103,1,1))+1)/365,0))</f>
        <v>0</v>
      </c>
      <c r="AF104" s="37" t="n">
        <f aca="false">IF($C$97=1,MAX(0,MIN(DATE(AF$103,12,31),$C$98)-MAX(Inputs!$C$5+1,DATE(AF$103,1,1))+1)/365,IF(AF$103&lt;=$C$99,(DATE(AF$103,12,31)-MAX(Inputs!$C$5+1,DATE(AF$103,1,1))+1)/365,0))</f>
        <v>0</v>
      </c>
      <c r="AG104" s="37" t="n">
        <f aca="false">IF($C$97=1,MAX(0,MIN(DATE(AG$103,12,31),$C$98)-MAX(Inputs!$C$5+1,DATE(AG$103,1,1))+1)/365,IF(AG$103&lt;=$C$99,(DATE(AG$103,12,31)-MAX(Inputs!$C$5+1,DATE(AG$103,1,1))+1)/365,0))</f>
        <v>0</v>
      </c>
      <c r="AH104" s="37" t="n">
        <f aca="false">IF($C$97=1,MAX(0,MIN(DATE(AH$103,12,31),$C$98)-MAX(Inputs!$C$5+1,DATE(AH$103,1,1))+1)/365,IF(AH$103&lt;=$C$99,(DATE(AH$103,12,31)-MAX(Inputs!$C$5+1,DATE(AH$103,1,1))+1)/365,0))</f>
        <v>0</v>
      </c>
      <c r="AI104" s="37" t="n">
        <f aca="false">IF($C$97=1,MAX(0,MIN(DATE(AI$103,12,31),$C$98)-MAX(Inputs!$C$5+1,DATE(AI$103,1,1))+1)/365,IF(AI$103&lt;=$C$99,(DATE(AI$103,12,31)-MAX(Inputs!$C$5+1,DATE(AI$103,1,1))+1)/365,0))</f>
        <v>0</v>
      </c>
      <c r="AJ104" s="37" t="n">
        <f aca="false">IF($C$97=1,MAX(0,MIN(DATE(AJ$103,12,31),$C$98)-MAX(Inputs!$C$5+1,DATE(AJ$103,1,1))+1)/365,IF(AJ$103&lt;=$C$99,(DATE(AJ$103,12,31)-MAX(Inputs!$C$5+1,DATE(AJ$103,1,1))+1)/365,0))</f>
        <v>0</v>
      </c>
      <c r="AK104" s="37" t="n">
        <f aca="false">IF($C$97=1,MAX(0,MIN(DATE(AK$103,12,31),$C$98)-MAX(Inputs!$C$5+1,DATE(AK$103,1,1))+1)/365,IF(AK$103&lt;=$C$99,(DATE(AK$103,12,31)-MAX(Inputs!$C$5+1,DATE(AK$103,1,1))+1)/365,0))</f>
        <v>0</v>
      </c>
      <c r="AL104" s="37" t="n">
        <f aca="false">IF($C$97=1,MAX(0,MIN(DATE(AL$103,12,31),$C$98)-MAX(Inputs!$C$5+1,DATE(AL$103,1,1))+1)/365,IF(AL$103&lt;=$C$99,(DATE(AL$103,12,31)-MAX(Inputs!$C$5+1,DATE(AL$103,1,1))+1)/365,0))</f>
        <v>0</v>
      </c>
      <c r="AM104" s="37" t="n">
        <f aca="false">IF($C$97=1,MAX(0,MIN(DATE(AM$103,12,31),$C$98)-MAX(Inputs!$C$5+1,DATE(AM$103,1,1))+1)/365,IF(AM$103&lt;=$C$99,(DATE(AM$103,12,31)-MAX(Inputs!$C$5+1,DATE(AM$103,1,1))+1)/365,0))</f>
        <v>0</v>
      </c>
      <c r="AN104" s="37" t="n">
        <f aca="false">IF($C$97=1,MAX(0,MIN(DATE(AN$103,12,31),$C$98)-MAX(Inputs!$C$5+1,DATE(AN$103,1,1))+1)/365,IF(AN$103&lt;=$C$99,(DATE(AN$103,12,31)-MAX(Inputs!$C$5+1,DATE(AN$103,1,1))+1)/365,0))</f>
        <v>0</v>
      </c>
      <c r="AO104" s="37" t="n">
        <f aca="false">IF($C$97=1,MAX(0,MIN(DATE(AO$103,12,31),$C$98)-MAX(Inputs!$C$5+1,DATE(AO$103,1,1))+1)/365,IF(AO$103&lt;=$C$99,(DATE(AO$103,12,31)-MAX(Inputs!$C$5+1,DATE(AO$103,1,1))+1)/365,0))</f>
        <v>0</v>
      </c>
      <c r="AP104" s="37" t="n">
        <f aca="false">IF($C$97=1,MAX(0,MIN(DATE(AP$103,12,31),$C$98)-MAX(Inputs!$C$5+1,DATE(AP$103,1,1))+1)/365,IF(AP$103&lt;=$C$99,(DATE(AP$103,12,31)-MAX(Inputs!$C$5+1,DATE(AP$103,1,1))+1)/365,0))</f>
        <v>0</v>
      </c>
      <c r="AQ104" s="37" t="n">
        <f aca="false">IF($C$97=1,MAX(0,MIN(DATE(AQ$103,12,31),$C$98)-MAX(Inputs!$C$5+1,DATE(AQ$103,1,1))+1)/365,IF(AQ$103&lt;=$C$99,(DATE(AQ$103,12,31)-MAX(Inputs!$C$5+1,DATE(AQ$103,1,1))+1)/365,0))</f>
        <v>0</v>
      </c>
      <c r="AR104" s="37" t="n">
        <f aca="false">IF($C$97=1,MAX(0,MIN(DATE(AR$103,12,31),$C$98)-MAX(Inputs!$C$5+1,DATE(AR$103,1,1))+1)/365,IF(AR$103&lt;=$C$99,(DATE(AR$103,12,31)-MAX(Inputs!$C$5+1,DATE(AR$103,1,1))+1)/365,0))</f>
        <v>0</v>
      </c>
      <c r="AS104" s="37" t="n">
        <f aca="false">IF($C$97=1,MAX(0,MIN(DATE(AS$103,12,31),$C$98)-MAX(Inputs!$C$5+1,DATE(AS$103,1,1))+1)/365,IF(AS$103&lt;=$C$99,(DATE(AS$103,12,31)-MAX(Inputs!$C$5+1,DATE(AS$103,1,1))+1)/365,0))</f>
        <v>0</v>
      </c>
      <c r="AT104" s="37" t="n">
        <f aca="false">IF($C$97=1,MAX(0,MIN(DATE(AT$103,12,31),$C$98)-MAX(Inputs!$C$5+1,DATE(AT$103,1,1))+1)/365,IF(AT$103&lt;=$C$99,(DATE(AT$103,12,31)-MAX(Inputs!$C$5+1,DATE(AT$103,1,1))+1)/365,0))</f>
        <v>0</v>
      </c>
      <c r="AU104" s="37" t="n">
        <f aca="false">IF($C$97=1,MAX(0,MIN(DATE(AU$103,12,31),$C$98)-MAX(Inputs!$C$5+1,DATE(AU$103,1,1))+1)/365,IF(AU$103&lt;=$C$99,(DATE(AU$103,12,31)-MAX(Inputs!$C$5+1,DATE(AU$103,1,1))+1)/365,0))</f>
        <v>0</v>
      </c>
      <c r="AV104" s="37" t="n">
        <f aca="false">IF($C$97=1,MAX(0,MIN(DATE(AV$103,12,31),$C$98)-MAX(Inputs!$C$5+1,DATE(AV$103,1,1))+1)/365,IF(AV$103&lt;=$C$99,(DATE(AV$103,12,31)-MAX(Inputs!$C$5+1,DATE(AV$103,1,1))+1)/365,0))</f>
        <v>0</v>
      </c>
    </row>
    <row r="105" customFormat="false" ht="15" hidden="false" customHeight="false" outlineLevel="0" collapsed="false">
      <c r="B105" s="7" t="s">
        <v>138</v>
      </c>
      <c r="D105" s="16" t="n">
        <f aca="false">$C$89*(1+$C$90)</f>
        <v>1672.212</v>
      </c>
      <c r="E105" s="16" t="n">
        <f aca="false">D105*(1+$C$91)</f>
        <v>1707.328452</v>
      </c>
      <c r="F105" s="16" t="n">
        <f aca="false">E105*(1+$C$91)</f>
        <v>1743.182349492</v>
      </c>
      <c r="G105" s="16" t="n">
        <f aca="false">F105*(1+$C$91)</f>
        <v>1779.78917883133</v>
      </c>
      <c r="H105" s="16" t="n">
        <f aca="false">G105*(1+$C$91)</f>
        <v>1817.16475158679</v>
      </c>
      <c r="I105" s="16" t="n">
        <f aca="false">H105*(1+$C$91)</f>
        <v>1855.32521137011</v>
      </c>
      <c r="J105" s="16" t="n">
        <f aca="false">I105*(1+$C$91)</f>
        <v>1894.28704080888</v>
      </c>
      <c r="K105" s="16" t="n">
        <f aca="false">J105*(1+$C$91)</f>
        <v>1934.06706866587</v>
      </c>
      <c r="L105" s="16" t="n">
        <f aca="false">K105*(1+$C$91)</f>
        <v>1974.68247710785</v>
      </c>
      <c r="M105" s="16" t="n">
        <f aca="false">L105*(1+$C$91)</f>
        <v>2016.15080912712</v>
      </c>
      <c r="N105" s="16" t="n">
        <f aca="false">M105*(1+$C$91)</f>
        <v>2058.48997611879</v>
      </c>
      <c r="O105" s="16" t="n">
        <f aca="false">N105*(1+$C$91)</f>
        <v>2101.71826561728</v>
      </c>
      <c r="P105" s="16" t="n">
        <f aca="false">O105*(1+$C$91)</f>
        <v>2145.85434919524</v>
      </c>
      <c r="Q105" s="16" t="n">
        <f aca="false">P105*(1+$C$91)</f>
        <v>2190.91729052834</v>
      </c>
      <c r="R105" s="16" t="n">
        <f aca="false">Q105*(1+$C$91)</f>
        <v>2236.92655362944</v>
      </c>
      <c r="S105" s="16" t="n">
        <f aca="false">R105*(1+$C$91)</f>
        <v>2283.90201125566</v>
      </c>
      <c r="T105" s="16" t="n">
        <f aca="false">S105*(1+$C$91)</f>
        <v>2331.86395349203</v>
      </c>
      <c r="U105" s="16" t="n">
        <f aca="false">T105*(1+$C$91)</f>
        <v>2380.83309651536</v>
      </c>
      <c r="V105" s="16" t="n">
        <f aca="false">U105*(1+$C$91)</f>
        <v>2430.83059154218</v>
      </c>
      <c r="W105" s="16" t="n">
        <f aca="false">V105*(1+$C$91)</f>
        <v>2481.87803396457</v>
      </c>
      <c r="X105" s="16" t="n">
        <f aca="false">W105*(1+$C$91)</f>
        <v>2533.99747267782</v>
      </c>
      <c r="Y105" s="16" t="n">
        <f aca="false">X105*(1+$C$91)</f>
        <v>2587.21141960406</v>
      </c>
      <c r="Z105" s="16" t="n">
        <f aca="false">Y105*(1+$C$91)</f>
        <v>2641.54285941574</v>
      </c>
      <c r="AA105" s="16" t="n">
        <f aca="false">Z105*(1+$C$91)</f>
        <v>2697.01525946347</v>
      </c>
      <c r="AB105" s="16" t="n">
        <f aca="false">AA105*(1+$C$91)</f>
        <v>2753.6525799122</v>
      </c>
      <c r="AC105" s="16" t="n">
        <f aca="false">AB105*(1+$C$91)</f>
        <v>2811.47928409036</v>
      </c>
      <c r="AD105" s="16" t="n">
        <f aca="false">AC105*(1+$C$91)</f>
        <v>2870.52034905626</v>
      </c>
      <c r="AE105" s="16" t="n">
        <f aca="false">AD105*(1+$C$91)</f>
        <v>2930.80127638644</v>
      </c>
      <c r="AF105" s="16" t="n">
        <f aca="false">AE105*(1+$C$91)</f>
        <v>2992.34810319055</v>
      </c>
      <c r="AG105" s="16" t="n">
        <f aca="false">AF105*(1+$C$91)</f>
        <v>3055.18741335756</v>
      </c>
      <c r="AH105" s="16" t="n">
        <f aca="false">AG105*(1+$C$91)</f>
        <v>3119.34634903806</v>
      </c>
      <c r="AI105" s="16" t="n">
        <f aca="false">AH105*(1+$C$91)</f>
        <v>3184.85262236786</v>
      </c>
      <c r="AJ105" s="16" t="n">
        <f aca="false">AI105*(1+$C$91)</f>
        <v>3251.73452743759</v>
      </c>
      <c r="AK105" s="16" t="n">
        <f aca="false">AJ105*(1+$C$91)</f>
        <v>3320.02095251378</v>
      </c>
      <c r="AL105" s="16" t="n">
        <f aca="false">AK105*(1+$C$91)</f>
        <v>3389.74139251657</v>
      </c>
      <c r="AM105" s="16" t="n">
        <f aca="false">AL105*(1+$C$91)</f>
        <v>3460.92596175941</v>
      </c>
      <c r="AN105" s="16" t="n">
        <f aca="false">AM105*(1+$C$91)</f>
        <v>3533.60540695636</v>
      </c>
      <c r="AO105" s="16" t="n">
        <f aca="false">AN105*(1+$C$91)</f>
        <v>3607.81112050244</v>
      </c>
      <c r="AP105" s="16" t="n">
        <f aca="false">AO105*(1+$C$91)</f>
        <v>3683.57515403299</v>
      </c>
      <c r="AQ105" s="16" t="n">
        <f aca="false">AP105*(1+$C$91)</f>
        <v>3760.93023226769</v>
      </c>
      <c r="AR105" s="16" t="n">
        <f aca="false">AQ105*(1+$C$91)</f>
        <v>3839.90976714531</v>
      </c>
      <c r="AS105" s="16" t="n">
        <f aca="false">AR105*(1+$C$91)</f>
        <v>3920.54787225536</v>
      </c>
      <c r="AT105" s="16" t="n">
        <f aca="false">AS105*(1+$C$91)</f>
        <v>4002.87937757272</v>
      </c>
      <c r="AU105" s="16" t="n">
        <f aca="false">AT105*(1+$C$91)</f>
        <v>4086.93984450175</v>
      </c>
      <c r="AV105" s="16" t="n">
        <f aca="false">AU105*(1+$C$91)</f>
        <v>4172.76558123629</v>
      </c>
    </row>
    <row r="106" customFormat="false" ht="15" hidden="false" customHeight="false" outlineLevel="0" collapsed="false">
      <c r="B106" s="7" t="s">
        <v>139</v>
      </c>
      <c r="D106" s="16" t="n">
        <f aca="false">D105*$C$92</f>
        <v>1188.106626</v>
      </c>
      <c r="E106" s="16" t="n">
        <f aca="false">E105*$C$92</f>
        <v>1213.056865146</v>
      </c>
      <c r="F106" s="16" t="n">
        <f aca="false">F105*$C$92</f>
        <v>1238.53105931407</v>
      </c>
      <c r="G106" s="16" t="n">
        <f aca="false">G105*$C$92</f>
        <v>1264.54021155966</v>
      </c>
      <c r="H106" s="16" t="n">
        <f aca="false">H105*$C$92</f>
        <v>1291.09555600241</v>
      </c>
      <c r="I106" s="16" t="n">
        <f aca="false">I105*$C$92</f>
        <v>1318.20856267846</v>
      </c>
      <c r="J106" s="16" t="n">
        <f aca="false">J105*$C$92</f>
        <v>1345.89094249471</v>
      </c>
      <c r="K106" s="16" t="n">
        <f aca="false">K105*$C$92</f>
        <v>1374.1546522871</v>
      </c>
      <c r="L106" s="16" t="n">
        <f aca="false">L105*$C$92</f>
        <v>1403.01189998513</v>
      </c>
      <c r="M106" s="16" t="n">
        <f aca="false">M105*$C$92</f>
        <v>1432.47514988482</v>
      </c>
      <c r="N106" s="16" t="n">
        <f aca="false">N105*$C$92</f>
        <v>1462.5571280324</v>
      </c>
      <c r="O106" s="16" t="n">
        <f aca="false">O105*$C$92</f>
        <v>1493.27082772108</v>
      </c>
      <c r="P106" s="16" t="n">
        <f aca="false">P105*$C$92</f>
        <v>1524.62951510322</v>
      </c>
      <c r="Q106" s="16" t="n">
        <f aca="false">Q105*$C$92</f>
        <v>1556.64673492039</v>
      </c>
      <c r="R106" s="16" t="n">
        <f aca="false">R105*$C$92</f>
        <v>1589.33631635372</v>
      </c>
      <c r="S106" s="16" t="n">
        <f aca="false">S105*$C$92</f>
        <v>1622.71237899715</v>
      </c>
      <c r="T106" s="16" t="n">
        <f aca="false">T105*$C$92</f>
        <v>1656.78933895608</v>
      </c>
      <c r="U106" s="16" t="n">
        <f aca="false">U105*$C$92</f>
        <v>1691.58191507416</v>
      </c>
      <c r="V106" s="16" t="n">
        <f aca="false">V105*$C$92</f>
        <v>1727.10513529072</v>
      </c>
      <c r="W106" s="16" t="n">
        <f aca="false">W105*$C$92</f>
        <v>1763.37434313182</v>
      </c>
      <c r="X106" s="16" t="n">
        <f aca="false">X105*$C$92</f>
        <v>1800.40520433759</v>
      </c>
      <c r="Y106" s="16" t="n">
        <f aca="false">Y105*$C$92</f>
        <v>1838.21371362868</v>
      </c>
      <c r="Z106" s="16" t="n">
        <f aca="false">Z105*$C$92</f>
        <v>1876.81620161488</v>
      </c>
      <c r="AA106" s="16" t="n">
        <f aca="false">AA105*$C$92</f>
        <v>1916.2293418488</v>
      </c>
      <c r="AB106" s="16" t="n">
        <f aca="false">AB105*$C$92</f>
        <v>1956.47015802762</v>
      </c>
      <c r="AC106" s="16" t="n">
        <f aca="false">AC105*$C$92</f>
        <v>1997.5560313462</v>
      </c>
      <c r="AD106" s="16" t="n">
        <f aca="false">AD105*$C$92</f>
        <v>2039.50470800447</v>
      </c>
      <c r="AE106" s="16" t="n">
        <f aca="false">AE105*$C$92</f>
        <v>2082.33430687257</v>
      </c>
      <c r="AF106" s="16" t="n">
        <f aca="false">AF105*$C$92</f>
        <v>2126.06332731689</v>
      </c>
      <c r="AG106" s="16" t="n">
        <f aca="false">AG105*$C$92</f>
        <v>2170.71065719054</v>
      </c>
      <c r="AH106" s="16" t="n">
        <f aca="false">AH105*$C$92</f>
        <v>2216.29558099154</v>
      </c>
      <c r="AI106" s="16" t="n">
        <f aca="false">AI105*$C$92</f>
        <v>2262.83778819237</v>
      </c>
      <c r="AJ106" s="16" t="n">
        <f aca="false">AJ105*$C$92</f>
        <v>2310.35738174441</v>
      </c>
      <c r="AK106" s="16" t="n">
        <f aca="false">AK105*$C$92</f>
        <v>2358.87488676104</v>
      </c>
      <c r="AL106" s="16" t="n">
        <f aca="false">AL105*$C$92</f>
        <v>2408.41125938302</v>
      </c>
      <c r="AM106" s="16" t="n">
        <f aca="false">AM105*$C$92</f>
        <v>2458.98789583006</v>
      </c>
      <c r="AN106" s="16" t="n">
        <f aca="false">AN105*$C$92</f>
        <v>2510.62664164249</v>
      </c>
      <c r="AO106" s="16" t="n">
        <f aca="false">AO105*$C$92</f>
        <v>2563.34980111699</v>
      </c>
      <c r="AP106" s="16" t="n">
        <f aca="false">AP105*$C$92</f>
        <v>2617.18014694044</v>
      </c>
      <c r="AQ106" s="16" t="n">
        <f aca="false">AQ105*$C$92</f>
        <v>2672.14093002619</v>
      </c>
      <c r="AR106" s="16" t="n">
        <f aca="false">AR105*$C$92</f>
        <v>2728.25588955674</v>
      </c>
      <c r="AS106" s="16" t="n">
        <f aca="false">AS105*$C$92</f>
        <v>2785.54926323743</v>
      </c>
      <c r="AT106" s="16" t="n">
        <f aca="false">AT105*$C$92</f>
        <v>2844.04579776542</v>
      </c>
      <c r="AU106" s="16" t="n">
        <f aca="false">AU105*$C$92</f>
        <v>2903.77075951849</v>
      </c>
      <c r="AV106" s="16" t="n">
        <f aca="false">AV105*$C$92</f>
        <v>2964.74994546838</v>
      </c>
    </row>
    <row r="107" customFormat="false" ht="15" hidden="false" customHeight="false" outlineLevel="0" collapsed="false">
      <c r="B107" s="7" t="s">
        <v>140</v>
      </c>
      <c r="D107" s="16" t="n">
        <f aca="false">-D105*$C$93</f>
        <v>-373.2377184</v>
      </c>
      <c r="E107" s="16" t="n">
        <f aca="false">-E105*$C$93</f>
        <v>-381.0757104864</v>
      </c>
      <c r="F107" s="16" t="n">
        <f aca="false">-F105*$C$93</f>
        <v>-389.078300406614</v>
      </c>
      <c r="G107" s="16" t="n">
        <f aca="false">-G105*$C$93</f>
        <v>-397.248944715153</v>
      </c>
      <c r="H107" s="16" t="n">
        <f aca="false">-H105*$C$93</f>
        <v>-405.591172554171</v>
      </c>
      <c r="I107" s="16" t="n">
        <f aca="false">-I105*$C$93</f>
        <v>-414.108587177809</v>
      </c>
      <c r="J107" s="16" t="n">
        <f aca="false">-J105*$C$93</f>
        <v>-422.804867508543</v>
      </c>
      <c r="K107" s="16" t="n">
        <f aca="false">-K105*$C$93</f>
        <v>-431.683769726222</v>
      </c>
      <c r="L107" s="16" t="n">
        <f aca="false">-L105*$C$93</f>
        <v>-440.749128890473</v>
      </c>
      <c r="M107" s="16" t="n">
        <f aca="false">-M105*$C$93</f>
        <v>-450.004860597173</v>
      </c>
      <c r="N107" s="16" t="n">
        <f aca="false">-N105*$C$93</f>
        <v>-459.454962669713</v>
      </c>
      <c r="O107" s="16" t="n">
        <f aca="false">-O105*$C$93</f>
        <v>-469.103516885777</v>
      </c>
      <c r="P107" s="16" t="n">
        <f aca="false">-P105*$C$93</f>
        <v>-478.954690740379</v>
      </c>
      <c r="Q107" s="16" t="n">
        <f aca="false">-Q105*$C$93</f>
        <v>-489.012739245927</v>
      </c>
      <c r="R107" s="16" t="n">
        <f aca="false">-R105*$C$93</f>
        <v>-499.282006770091</v>
      </c>
      <c r="S107" s="16" t="n">
        <f aca="false">-S105*$C$93</f>
        <v>-509.766928912263</v>
      </c>
      <c r="T107" s="16" t="n">
        <f aca="false">-T105*$C$93</f>
        <v>-520.47203441942</v>
      </c>
      <c r="U107" s="16" t="n">
        <f aca="false">-U105*$C$93</f>
        <v>-531.401947142228</v>
      </c>
      <c r="V107" s="16" t="n">
        <f aca="false">-V105*$C$93</f>
        <v>-542.561388032215</v>
      </c>
      <c r="W107" s="16" t="n">
        <f aca="false">-W105*$C$93</f>
        <v>-553.955177180891</v>
      </c>
      <c r="X107" s="16" t="n">
        <f aca="false">-X105*$C$93</f>
        <v>-565.58823590169</v>
      </c>
      <c r="Y107" s="16" t="n">
        <f aca="false">-Y105*$C$93</f>
        <v>-577.465588855626</v>
      </c>
      <c r="Z107" s="16" t="n">
        <f aca="false">-Z105*$C$93</f>
        <v>-589.592366221594</v>
      </c>
      <c r="AA107" s="16" t="n">
        <f aca="false">-AA105*$C$93</f>
        <v>-601.973805912247</v>
      </c>
      <c r="AB107" s="16" t="n">
        <f aca="false">-AB105*$C$93</f>
        <v>-614.615255836404</v>
      </c>
      <c r="AC107" s="16" t="n">
        <f aca="false">-AC105*$C$93</f>
        <v>-627.522176208969</v>
      </c>
      <c r="AD107" s="16" t="n">
        <f aca="false">-AD105*$C$93</f>
        <v>-640.700141909357</v>
      </c>
      <c r="AE107" s="16" t="n">
        <f aca="false">-AE105*$C$93</f>
        <v>-654.154844889453</v>
      </c>
      <c r="AF107" s="16" t="n">
        <f aca="false">-AF105*$C$93</f>
        <v>-667.892096632132</v>
      </c>
      <c r="AG107" s="16" t="n">
        <f aca="false">-AG105*$C$93</f>
        <v>-681.917830661406</v>
      </c>
      <c r="AH107" s="16" t="n">
        <f aca="false">-AH105*$C$93</f>
        <v>-696.238105105296</v>
      </c>
      <c r="AI107" s="16" t="n">
        <f aca="false">-AI105*$C$93</f>
        <v>-710.859105312507</v>
      </c>
      <c r="AJ107" s="16" t="n">
        <f aca="false">-AJ105*$C$93</f>
        <v>-725.78714652407</v>
      </c>
      <c r="AK107" s="16" t="n">
        <f aca="false">-AK105*$C$93</f>
        <v>-741.028676601075</v>
      </c>
      <c r="AL107" s="16" t="n">
        <f aca="false">-AL105*$C$93</f>
        <v>-756.590278809698</v>
      </c>
      <c r="AM107" s="16" t="n">
        <f aca="false">-AM105*$C$93</f>
        <v>-772.478674664701</v>
      </c>
      <c r="AN107" s="16" t="n">
        <f aca="false">-AN105*$C$93</f>
        <v>-788.70072683266</v>
      </c>
      <c r="AO107" s="16" t="n">
        <f aca="false">-AO105*$C$93</f>
        <v>-805.263442096145</v>
      </c>
      <c r="AP107" s="16" t="n">
        <f aca="false">-AP105*$C$93</f>
        <v>-822.173974380164</v>
      </c>
      <c r="AQ107" s="16" t="n">
        <f aca="false">-AQ105*$C$93</f>
        <v>-839.439627842148</v>
      </c>
      <c r="AR107" s="16" t="n">
        <f aca="false">-AR105*$C$93</f>
        <v>-857.067860026833</v>
      </c>
      <c r="AS107" s="16" t="n">
        <f aca="false">-AS105*$C$93</f>
        <v>-875.066285087396</v>
      </c>
      <c r="AT107" s="16" t="n">
        <f aca="false">-AT105*$C$93</f>
        <v>-893.442677074232</v>
      </c>
      <c r="AU107" s="16" t="n">
        <f aca="false">-AU105*$C$93</f>
        <v>-912.20497329279</v>
      </c>
      <c r="AV107" s="16" t="n">
        <f aca="false">-AV105*$C$93</f>
        <v>-931.361277731939</v>
      </c>
    </row>
    <row r="108" customFormat="false" ht="15" hidden="false" customHeight="false" outlineLevel="0" collapsed="false">
      <c r="B108" s="7" t="s">
        <v>141</v>
      </c>
      <c r="D108" s="16" t="n">
        <f aca="false">D106+D107</f>
        <v>814.8689076</v>
      </c>
      <c r="E108" s="16" t="n">
        <f aca="false">E106+E107</f>
        <v>831.9811546596</v>
      </c>
      <c r="F108" s="16" t="n">
        <f aca="false">F106+F107</f>
        <v>849.452758907451</v>
      </c>
      <c r="G108" s="16" t="n">
        <f aca="false">G106+G107</f>
        <v>867.291266844508</v>
      </c>
      <c r="H108" s="16" t="n">
        <f aca="false">H106+H107</f>
        <v>885.504383448242</v>
      </c>
      <c r="I108" s="16" t="n">
        <f aca="false">I106+I107</f>
        <v>904.099975500656</v>
      </c>
      <c r="J108" s="16" t="n">
        <f aca="false">J106+J107</f>
        <v>923.086074986169</v>
      </c>
      <c r="K108" s="16" t="n">
        <f aca="false">K106+K107</f>
        <v>942.470882560879</v>
      </c>
      <c r="L108" s="16" t="n">
        <f aca="false">L106+L107</f>
        <v>962.262771094657</v>
      </c>
      <c r="M108" s="16" t="n">
        <f aca="false">M106+M107</f>
        <v>982.470289287645</v>
      </c>
      <c r="N108" s="16" t="n">
        <f aca="false">N106+N107</f>
        <v>1003.10216536269</v>
      </c>
      <c r="O108" s="16" t="n">
        <f aca="false">O106+O107</f>
        <v>1024.1673108353</v>
      </c>
      <c r="P108" s="16" t="n">
        <f aca="false">P106+P107</f>
        <v>1045.67482436284</v>
      </c>
      <c r="Q108" s="16" t="n">
        <f aca="false">Q106+Q107</f>
        <v>1067.63399567446</v>
      </c>
      <c r="R108" s="16" t="n">
        <f aca="false">R106+R107</f>
        <v>1090.05430958363</v>
      </c>
      <c r="S108" s="16" t="n">
        <f aca="false">S106+S107</f>
        <v>1112.94545008488</v>
      </c>
      <c r="T108" s="16" t="n">
        <f aca="false">T106+T107</f>
        <v>1136.31730453666</v>
      </c>
      <c r="U108" s="16" t="n">
        <f aca="false">U106+U107</f>
        <v>1160.17996793193</v>
      </c>
      <c r="V108" s="16" t="n">
        <f aca="false">V106+V107</f>
        <v>1184.54374725851</v>
      </c>
      <c r="W108" s="16" t="n">
        <f aca="false">W106+W107</f>
        <v>1209.41916595093</v>
      </c>
      <c r="X108" s="16" t="n">
        <f aca="false">X106+X107</f>
        <v>1234.8169684359</v>
      </c>
      <c r="Y108" s="16" t="n">
        <f aca="false">Y106+Y107</f>
        <v>1260.74812477306</v>
      </c>
      <c r="Z108" s="16" t="n">
        <f aca="false">Z106+Z107</f>
        <v>1287.22383539329</v>
      </c>
      <c r="AA108" s="16" t="n">
        <f aca="false">AA106+AA107</f>
        <v>1314.25553593655</v>
      </c>
      <c r="AB108" s="16" t="n">
        <f aca="false">AB106+AB107</f>
        <v>1341.85490219122</v>
      </c>
      <c r="AC108" s="16" t="n">
        <f aca="false">AC106+AC107</f>
        <v>1370.03385513723</v>
      </c>
      <c r="AD108" s="16" t="n">
        <f aca="false">AD106+AD107</f>
        <v>1398.80456609511</v>
      </c>
      <c r="AE108" s="16" t="n">
        <f aca="false">AE106+AE107</f>
        <v>1428.17946198311</v>
      </c>
      <c r="AF108" s="16" t="n">
        <f aca="false">AF106+AF107</f>
        <v>1458.17123068476</v>
      </c>
      <c r="AG108" s="16" t="n">
        <f aca="false">AG106+AG107</f>
        <v>1488.79282652914</v>
      </c>
      <c r="AH108" s="16" t="n">
        <f aca="false">AH106+AH107</f>
        <v>1520.05747588625</v>
      </c>
      <c r="AI108" s="16" t="n">
        <f aca="false">AI106+AI107</f>
        <v>1551.97868287986</v>
      </c>
      <c r="AJ108" s="16" t="n">
        <f aca="false">AJ106+AJ107</f>
        <v>1584.57023522034</v>
      </c>
      <c r="AK108" s="16" t="n">
        <f aca="false">AK106+AK107</f>
        <v>1617.84621015996</v>
      </c>
      <c r="AL108" s="16" t="n">
        <f aca="false">AL106+AL107</f>
        <v>1651.82098057332</v>
      </c>
      <c r="AM108" s="16" t="n">
        <f aca="false">AM106+AM107</f>
        <v>1686.50922116536</v>
      </c>
      <c r="AN108" s="16" t="n">
        <f aca="false">AN106+AN107</f>
        <v>1721.92591480983</v>
      </c>
      <c r="AO108" s="16" t="n">
        <f aca="false">AO106+AO107</f>
        <v>1758.08635902084</v>
      </c>
      <c r="AP108" s="16" t="n">
        <f aca="false">AP106+AP107</f>
        <v>1795.00617256028</v>
      </c>
      <c r="AQ108" s="16" t="n">
        <f aca="false">AQ106+AQ107</f>
        <v>1832.70130218404</v>
      </c>
      <c r="AR108" s="16" t="n">
        <f aca="false">AR106+AR107</f>
        <v>1871.18802952991</v>
      </c>
      <c r="AS108" s="16" t="n">
        <f aca="false">AS106+AS107</f>
        <v>1910.48297815004</v>
      </c>
      <c r="AT108" s="16" t="n">
        <f aca="false">AT106+AT107</f>
        <v>1950.60312069119</v>
      </c>
      <c r="AU108" s="16" t="n">
        <f aca="false">AU106+AU107</f>
        <v>1991.5657862257</v>
      </c>
      <c r="AV108" s="16" t="n">
        <f aca="false">AV106+AV107</f>
        <v>2033.38866773644</v>
      </c>
    </row>
    <row r="109" customFormat="false" ht="15" hidden="false" customHeight="false" outlineLevel="0" collapsed="false">
      <c r="B109" s="7" t="s">
        <v>142</v>
      </c>
      <c r="D109" s="8" t="n">
        <f aca="false">IF(D$103=2026,Inputs!$C$10,Inputs!$C$11)</f>
        <v>0.348</v>
      </c>
      <c r="E109" s="8" t="n">
        <f aca="false">IF(E$103=2026,Inputs!$C$10,Inputs!$C$11)</f>
        <v>0.258</v>
      </c>
      <c r="F109" s="8" t="n">
        <f aca="false">IF(F$103=2026,Inputs!$C$10,Inputs!$C$11)</f>
        <v>0.258</v>
      </c>
      <c r="G109" s="8" t="n">
        <f aca="false">IF(G$103=2026,Inputs!$C$10,Inputs!$C$11)</f>
        <v>0.258</v>
      </c>
      <c r="H109" s="8" t="n">
        <f aca="false">IF(H$103=2026,Inputs!$C$10,Inputs!$C$11)</f>
        <v>0.258</v>
      </c>
      <c r="I109" s="8" t="n">
        <f aca="false">IF(I$103=2026,Inputs!$C$10,Inputs!$C$11)</f>
        <v>0.258</v>
      </c>
      <c r="J109" s="8" t="n">
        <f aca="false">IF(J$103=2026,Inputs!$C$10,Inputs!$C$11)</f>
        <v>0.258</v>
      </c>
      <c r="K109" s="8" t="n">
        <f aca="false">IF(K$103=2026,Inputs!$C$10,Inputs!$C$11)</f>
        <v>0.258</v>
      </c>
      <c r="L109" s="8" t="n">
        <f aca="false">IF(L$103=2026,Inputs!$C$10,Inputs!$C$11)</f>
        <v>0.258</v>
      </c>
      <c r="M109" s="8" t="n">
        <f aca="false">IF(M$103=2026,Inputs!$C$10,Inputs!$C$11)</f>
        <v>0.258</v>
      </c>
      <c r="N109" s="8" t="n">
        <f aca="false">IF(N$103=2026,Inputs!$C$10,Inputs!$C$11)</f>
        <v>0.258</v>
      </c>
      <c r="O109" s="8" t="n">
        <f aca="false">IF(O$103=2026,Inputs!$C$10,Inputs!$C$11)</f>
        <v>0.258</v>
      </c>
      <c r="P109" s="8" t="n">
        <f aca="false">IF(P$103=2026,Inputs!$C$10,Inputs!$C$11)</f>
        <v>0.258</v>
      </c>
      <c r="Q109" s="8" t="n">
        <f aca="false">IF(Q$103=2026,Inputs!$C$10,Inputs!$C$11)</f>
        <v>0.258</v>
      </c>
      <c r="R109" s="8" t="n">
        <f aca="false">IF(R$103=2026,Inputs!$C$10,Inputs!$C$11)</f>
        <v>0.258</v>
      </c>
      <c r="S109" s="8" t="n">
        <f aca="false">IF(S$103=2026,Inputs!$C$10,Inputs!$C$11)</f>
        <v>0.258</v>
      </c>
      <c r="T109" s="8" t="n">
        <f aca="false">IF(T$103=2026,Inputs!$C$10,Inputs!$C$11)</f>
        <v>0.258</v>
      </c>
      <c r="U109" s="8" t="n">
        <f aca="false">IF(U$103=2026,Inputs!$C$10,Inputs!$C$11)</f>
        <v>0.258</v>
      </c>
      <c r="V109" s="8" t="n">
        <f aca="false">IF(V$103=2026,Inputs!$C$10,Inputs!$C$11)</f>
        <v>0.258</v>
      </c>
      <c r="W109" s="8" t="n">
        <f aca="false">IF(W$103=2026,Inputs!$C$10,Inputs!$C$11)</f>
        <v>0.258</v>
      </c>
      <c r="X109" s="8" t="n">
        <f aca="false">IF(X$103=2026,Inputs!$C$10,Inputs!$C$11)</f>
        <v>0.258</v>
      </c>
      <c r="Y109" s="8" t="n">
        <f aca="false">IF(Y$103=2026,Inputs!$C$10,Inputs!$C$11)</f>
        <v>0.258</v>
      </c>
      <c r="Z109" s="8" t="n">
        <f aca="false">IF(Z$103=2026,Inputs!$C$10,Inputs!$C$11)</f>
        <v>0.258</v>
      </c>
      <c r="AA109" s="8" t="n">
        <f aca="false">IF(AA$103=2026,Inputs!$C$10,Inputs!$C$11)</f>
        <v>0.258</v>
      </c>
      <c r="AB109" s="8" t="n">
        <f aca="false">IF(AB$103=2026,Inputs!$C$10,Inputs!$C$11)</f>
        <v>0.258</v>
      </c>
      <c r="AC109" s="8" t="n">
        <f aca="false">IF(AC$103=2026,Inputs!$C$10,Inputs!$C$11)</f>
        <v>0.258</v>
      </c>
      <c r="AD109" s="8" t="n">
        <f aca="false">IF(AD$103=2026,Inputs!$C$10,Inputs!$C$11)</f>
        <v>0.258</v>
      </c>
      <c r="AE109" s="8" t="n">
        <f aca="false">IF(AE$103=2026,Inputs!$C$10,Inputs!$C$11)</f>
        <v>0.258</v>
      </c>
      <c r="AF109" s="8" t="n">
        <f aca="false">IF(AF$103=2026,Inputs!$C$10,Inputs!$C$11)</f>
        <v>0.258</v>
      </c>
      <c r="AG109" s="8" t="n">
        <f aca="false">IF(AG$103=2026,Inputs!$C$10,Inputs!$C$11)</f>
        <v>0.258</v>
      </c>
      <c r="AH109" s="8" t="n">
        <f aca="false">IF(AH$103=2026,Inputs!$C$10,Inputs!$C$11)</f>
        <v>0.258</v>
      </c>
      <c r="AI109" s="8" t="n">
        <f aca="false">IF(AI$103=2026,Inputs!$C$10,Inputs!$C$11)</f>
        <v>0.258</v>
      </c>
      <c r="AJ109" s="8" t="n">
        <f aca="false">IF(AJ$103=2026,Inputs!$C$10,Inputs!$C$11)</f>
        <v>0.258</v>
      </c>
      <c r="AK109" s="8" t="n">
        <f aca="false">IF(AK$103=2026,Inputs!$C$10,Inputs!$C$11)</f>
        <v>0.258</v>
      </c>
      <c r="AL109" s="8" t="n">
        <f aca="false">IF(AL$103=2026,Inputs!$C$10,Inputs!$C$11)</f>
        <v>0.258</v>
      </c>
      <c r="AM109" s="8" t="n">
        <f aca="false">IF(AM$103=2026,Inputs!$C$10,Inputs!$C$11)</f>
        <v>0.258</v>
      </c>
      <c r="AN109" s="8" t="n">
        <f aca="false">IF(AN$103=2026,Inputs!$C$10,Inputs!$C$11)</f>
        <v>0.258</v>
      </c>
      <c r="AO109" s="8" t="n">
        <f aca="false">IF(AO$103=2026,Inputs!$C$10,Inputs!$C$11)</f>
        <v>0.258</v>
      </c>
      <c r="AP109" s="8" t="n">
        <f aca="false">IF(AP$103=2026,Inputs!$C$10,Inputs!$C$11)</f>
        <v>0.258</v>
      </c>
      <c r="AQ109" s="8" t="n">
        <f aca="false">IF(AQ$103=2026,Inputs!$C$10,Inputs!$C$11)</f>
        <v>0.258</v>
      </c>
      <c r="AR109" s="8" t="n">
        <f aca="false">IF(AR$103=2026,Inputs!$C$10,Inputs!$C$11)</f>
        <v>0.258</v>
      </c>
      <c r="AS109" s="8" t="n">
        <f aca="false">IF(AS$103=2026,Inputs!$C$10,Inputs!$C$11)</f>
        <v>0.258</v>
      </c>
      <c r="AT109" s="8" t="n">
        <f aca="false">IF(AT$103=2026,Inputs!$C$10,Inputs!$C$11)</f>
        <v>0.258</v>
      </c>
      <c r="AU109" s="8" t="n">
        <f aca="false">IF(AU$103=2026,Inputs!$C$10,Inputs!$C$11)</f>
        <v>0.258</v>
      </c>
      <c r="AV109" s="8" t="n">
        <f aca="false">IF(AV$103=2026,Inputs!$C$10,Inputs!$C$11)</f>
        <v>0.258</v>
      </c>
    </row>
    <row r="110" customFormat="false" ht="15" hidden="false" customHeight="false" outlineLevel="0" collapsed="false">
      <c r="B110" s="7" t="s">
        <v>143</v>
      </c>
      <c r="D110" s="16" t="n">
        <f aca="false">-MAX(0,D108)*D109</f>
        <v>-283.5743798448</v>
      </c>
      <c r="E110" s="16" t="n">
        <f aca="false">-MAX(0,E108)*E109</f>
        <v>-214.651137902177</v>
      </c>
      <c r="F110" s="16" t="n">
        <f aca="false">-MAX(0,F108)*F109</f>
        <v>-219.158811798122</v>
      </c>
      <c r="G110" s="16" t="n">
        <f aca="false">-MAX(0,G108)*G109</f>
        <v>-223.761146845883</v>
      </c>
      <c r="H110" s="16" t="n">
        <f aca="false">-MAX(0,H108)*H109</f>
        <v>-228.460130929647</v>
      </c>
      <c r="I110" s="16" t="n">
        <f aca="false">-MAX(0,I108)*I109</f>
        <v>-233.257793679169</v>
      </c>
      <c r="J110" s="16" t="n">
        <f aca="false">-MAX(0,J108)*J109</f>
        <v>-238.156207346432</v>
      </c>
      <c r="K110" s="16" t="n">
        <f aca="false">-MAX(0,K108)*K109</f>
        <v>-243.157487700707</v>
      </c>
      <c r="L110" s="16" t="n">
        <f aca="false">-MAX(0,L108)*L109</f>
        <v>-248.263794942422</v>
      </c>
      <c r="M110" s="16" t="n">
        <f aca="false">-MAX(0,M108)*M109</f>
        <v>-253.477334636212</v>
      </c>
      <c r="N110" s="16" t="n">
        <f aca="false">-MAX(0,N108)*N109</f>
        <v>-258.800358663573</v>
      </c>
      <c r="O110" s="16" t="n">
        <f aca="false">-MAX(0,O108)*O109</f>
        <v>-264.235166195508</v>
      </c>
      <c r="P110" s="16" t="n">
        <f aca="false">-MAX(0,P108)*P109</f>
        <v>-269.784104685613</v>
      </c>
      <c r="Q110" s="16" t="n">
        <f aca="false">-MAX(0,Q108)*Q109</f>
        <v>-275.449570884011</v>
      </c>
      <c r="R110" s="16" t="n">
        <f aca="false">-MAX(0,R108)*R109</f>
        <v>-281.234011872576</v>
      </c>
      <c r="S110" s="16" t="n">
        <f aca="false">-MAX(0,S108)*S109</f>
        <v>-287.1399261219</v>
      </c>
      <c r="T110" s="16" t="n">
        <f aca="false">-MAX(0,T108)*T109</f>
        <v>-293.169864570459</v>
      </c>
      <c r="U110" s="16" t="n">
        <f aca="false">-MAX(0,U108)*U109</f>
        <v>-299.326431726439</v>
      </c>
      <c r="V110" s="16" t="n">
        <f aca="false">-MAX(0,V108)*V109</f>
        <v>-305.612286792694</v>
      </c>
      <c r="W110" s="16" t="n">
        <f aca="false">-MAX(0,W108)*W109</f>
        <v>-312.030144815341</v>
      </c>
      <c r="X110" s="16" t="n">
        <f aca="false">-MAX(0,X108)*X109</f>
        <v>-318.582777856463</v>
      </c>
      <c r="Y110" s="16" t="n">
        <f aca="false">-MAX(0,Y108)*Y109</f>
        <v>-325.273016191449</v>
      </c>
      <c r="Z110" s="16" t="n">
        <f aca="false">-MAX(0,Z108)*Z109</f>
        <v>-332.103749531469</v>
      </c>
      <c r="AA110" s="16" t="n">
        <f aca="false">-MAX(0,AA108)*AA109</f>
        <v>-339.07792827163</v>
      </c>
      <c r="AB110" s="16" t="n">
        <f aca="false">-MAX(0,AB108)*AB109</f>
        <v>-346.198564765334</v>
      </c>
      <c r="AC110" s="16" t="n">
        <f aca="false">-MAX(0,AC108)*AC109</f>
        <v>-353.468734625406</v>
      </c>
      <c r="AD110" s="16" t="n">
        <f aca="false">-MAX(0,AD108)*AD109</f>
        <v>-360.89157805254</v>
      </c>
      <c r="AE110" s="16" t="n">
        <f aca="false">-MAX(0,AE108)*AE109</f>
        <v>-368.470301191643</v>
      </c>
      <c r="AF110" s="16" t="n">
        <f aca="false">-MAX(0,AF108)*AF109</f>
        <v>-376.208177516667</v>
      </c>
      <c r="AG110" s="16" t="n">
        <f aca="false">-MAX(0,AG108)*AG109</f>
        <v>-384.108549244517</v>
      </c>
      <c r="AH110" s="16" t="n">
        <f aca="false">-MAX(0,AH108)*AH109</f>
        <v>-392.174828778652</v>
      </c>
      <c r="AI110" s="16" t="n">
        <f aca="false">-MAX(0,AI108)*AI109</f>
        <v>-400.410500183004</v>
      </c>
      <c r="AJ110" s="16" t="n">
        <f aca="false">-MAX(0,AJ108)*AJ109</f>
        <v>-408.819120686847</v>
      </c>
      <c r="AK110" s="16" t="n">
        <f aca="false">-MAX(0,AK108)*AK109</f>
        <v>-417.404322221271</v>
      </c>
      <c r="AL110" s="16" t="n">
        <f aca="false">-MAX(0,AL108)*AL109</f>
        <v>-426.169812987917</v>
      </c>
      <c r="AM110" s="16" t="n">
        <f aca="false">-MAX(0,AM108)*AM109</f>
        <v>-435.119379060663</v>
      </c>
      <c r="AN110" s="16" t="n">
        <f aca="false">-MAX(0,AN108)*AN109</f>
        <v>-444.256886020937</v>
      </c>
      <c r="AO110" s="16" t="n">
        <f aca="false">-MAX(0,AO108)*AO109</f>
        <v>-453.586280627377</v>
      </c>
      <c r="AP110" s="16" t="n">
        <f aca="false">-MAX(0,AP108)*AP109</f>
        <v>-463.111592520552</v>
      </c>
      <c r="AQ110" s="16" t="n">
        <f aca="false">-MAX(0,AQ108)*AQ109</f>
        <v>-472.836935963483</v>
      </c>
      <c r="AR110" s="16" t="n">
        <f aca="false">-MAX(0,AR108)*AR109</f>
        <v>-482.766511618716</v>
      </c>
      <c r="AS110" s="16" t="n">
        <f aca="false">-MAX(0,AS108)*AS109</f>
        <v>-492.904608362709</v>
      </c>
      <c r="AT110" s="16" t="n">
        <f aca="false">-MAX(0,AT108)*AT109</f>
        <v>-503.255605138326</v>
      </c>
      <c r="AU110" s="16" t="n">
        <f aca="false">-MAX(0,AU108)*AU109</f>
        <v>-513.823972846231</v>
      </c>
      <c r="AV110" s="16" t="n">
        <f aca="false">-MAX(0,AV108)*AV109</f>
        <v>-524.614276276002</v>
      </c>
    </row>
    <row r="111" customFormat="false" ht="15" hidden="false" customHeight="false" outlineLevel="0" collapsed="false">
      <c r="B111" s="7" t="s">
        <v>144</v>
      </c>
      <c r="D111" s="16" t="n">
        <f aca="false">-D105*$C$94</f>
        <v>-145.9841076</v>
      </c>
      <c r="E111" s="16" t="n">
        <f aca="false">-E105*$C$94</f>
        <v>-149.0497738596</v>
      </c>
      <c r="F111" s="16" t="n">
        <f aca="false">-F105*$C$94</f>
        <v>-152.179819110652</v>
      </c>
      <c r="G111" s="16" t="n">
        <f aca="false">-G105*$C$94</f>
        <v>-155.375595311975</v>
      </c>
      <c r="H111" s="16" t="n">
        <f aca="false">-H105*$C$94</f>
        <v>-158.638482813527</v>
      </c>
      <c r="I111" s="16" t="n">
        <f aca="false">-I105*$C$94</f>
        <v>-161.969890952611</v>
      </c>
      <c r="J111" s="16" t="n">
        <f aca="false">-J105*$C$94</f>
        <v>-165.371258662616</v>
      </c>
      <c r="K111" s="16" t="n">
        <f aca="false">-K105*$C$94</f>
        <v>-168.844055094531</v>
      </c>
      <c r="L111" s="16" t="n">
        <f aca="false">-L105*$C$94</f>
        <v>-172.389780251516</v>
      </c>
      <c r="M111" s="16" t="n">
        <f aca="false">-M105*$C$94</f>
        <v>-176.009965636797</v>
      </c>
      <c r="N111" s="16" t="n">
        <f aca="false">-N105*$C$94</f>
        <v>-179.70617491517</v>
      </c>
      <c r="O111" s="16" t="n">
        <f aca="false">-O105*$C$94</f>
        <v>-183.480004588389</v>
      </c>
      <c r="P111" s="16" t="n">
        <f aca="false">-P105*$C$94</f>
        <v>-187.333084684745</v>
      </c>
      <c r="Q111" s="16" t="n">
        <f aca="false">-Q105*$C$94</f>
        <v>-191.267079463124</v>
      </c>
      <c r="R111" s="16" t="n">
        <f aca="false">-R105*$C$94</f>
        <v>-195.28368813185</v>
      </c>
      <c r="S111" s="16" t="n">
        <f aca="false">-S105*$C$94</f>
        <v>-199.384645582619</v>
      </c>
      <c r="T111" s="16" t="n">
        <f aca="false">-T105*$C$94</f>
        <v>-203.571723139854</v>
      </c>
      <c r="U111" s="16" t="n">
        <f aca="false">-U105*$C$94</f>
        <v>-207.846729325791</v>
      </c>
      <c r="V111" s="16" t="n">
        <f aca="false">-V105*$C$94</f>
        <v>-212.211510641632</v>
      </c>
      <c r="W111" s="16" t="n">
        <f aca="false">-W105*$C$94</f>
        <v>-216.667952365107</v>
      </c>
      <c r="X111" s="16" t="n">
        <f aca="false">-X105*$C$94</f>
        <v>-221.217979364774</v>
      </c>
      <c r="Y111" s="16" t="n">
        <f aca="false">-Y105*$C$94</f>
        <v>-225.863556931434</v>
      </c>
      <c r="Z111" s="16" t="n">
        <f aca="false">-Z105*$C$94</f>
        <v>-230.606691626994</v>
      </c>
      <c r="AA111" s="16" t="n">
        <f aca="false">-AA105*$C$94</f>
        <v>-235.449432151161</v>
      </c>
      <c r="AB111" s="16" t="n">
        <f aca="false">-AB105*$C$94</f>
        <v>-240.393870226335</v>
      </c>
      <c r="AC111" s="16" t="n">
        <f aca="false">-AC105*$C$94</f>
        <v>-245.442141501088</v>
      </c>
      <c r="AD111" s="16" t="n">
        <f aca="false">-AD105*$C$94</f>
        <v>-250.596426472611</v>
      </c>
      <c r="AE111" s="16" t="n">
        <f aca="false">-AE105*$C$94</f>
        <v>-255.858951428536</v>
      </c>
      <c r="AF111" s="16" t="n">
        <f aca="false">-AF105*$C$94</f>
        <v>-261.231989408535</v>
      </c>
      <c r="AG111" s="16" t="n">
        <f aca="false">-AG105*$C$94</f>
        <v>-266.717861186115</v>
      </c>
      <c r="AH111" s="16" t="n">
        <f aca="false">-AH105*$C$94</f>
        <v>-272.318936271023</v>
      </c>
      <c r="AI111" s="16" t="n">
        <f aca="false">-AI105*$C$94</f>
        <v>-278.037633932714</v>
      </c>
      <c r="AJ111" s="16" t="n">
        <f aca="false">-AJ105*$C$94</f>
        <v>-283.876424245301</v>
      </c>
      <c r="AK111" s="16" t="n">
        <f aca="false">-AK105*$C$94</f>
        <v>-289.837829154453</v>
      </c>
      <c r="AL111" s="16" t="n">
        <f aca="false">-AL105*$C$94</f>
        <v>-295.924423566696</v>
      </c>
      <c r="AM111" s="16" t="n">
        <f aca="false">-AM105*$C$94</f>
        <v>-302.138836461597</v>
      </c>
      <c r="AN111" s="16" t="n">
        <f aca="false">-AN105*$C$94</f>
        <v>-308.48375202729</v>
      </c>
      <c r="AO111" s="16" t="n">
        <f aca="false">-AO105*$C$94</f>
        <v>-314.961910819863</v>
      </c>
      <c r="AP111" s="16" t="n">
        <f aca="false">-AP105*$C$94</f>
        <v>-321.57611094708</v>
      </c>
      <c r="AQ111" s="16" t="n">
        <f aca="false">-AQ105*$C$94</f>
        <v>-328.329209276969</v>
      </c>
      <c r="AR111" s="16" t="n">
        <f aca="false">-AR105*$C$94</f>
        <v>-335.224122671785</v>
      </c>
      <c r="AS111" s="16" t="n">
        <f aca="false">-AS105*$C$94</f>
        <v>-342.263829247893</v>
      </c>
      <c r="AT111" s="16" t="n">
        <f aca="false">-AT105*$C$94</f>
        <v>-349.451369662099</v>
      </c>
      <c r="AU111" s="16" t="n">
        <f aca="false">-AU105*$C$94</f>
        <v>-356.789848425003</v>
      </c>
      <c r="AV111" s="16" t="n">
        <f aca="false">-AV105*$C$94</f>
        <v>-364.282435241928</v>
      </c>
    </row>
    <row r="112" customFormat="false" ht="15" hidden="false" customHeight="false" outlineLevel="0" collapsed="false">
      <c r="B112" s="7" t="s">
        <v>145</v>
      </c>
      <c r="D112" s="16" t="n">
        <f aca="false">-D105*$C$95</f>
        <v>-3.0099816</v>
      </c>
      <c r="E112" s="16" t="n">
        <f aca="false">-E105*$C$95</f>
        <v>-3.0731912136</v>
      </c>
      <c r="F112" s="16" t="n">
        <f aca="false">-F105*$C$95</f>
        <v>-3.1377282290856</v>
      </c>
      <c r="G112" s="16" t="n">
        <f aca="false">-G105*$C$95</f>
        <v>-3.2036205218964</v>
      </c>
      <c r="H112" s="16" t="n">
        <f aca="false">-H105*$C$95</f>
        <v>-3.27089655285622</v>
      </c>
      <c r="I112" s="16" t="n">
        <f aca="false">-I105*$C$95</f>
        <v>-3.3395853804662</v>
      </c>
      <c r="J112" s="16" t="n">
        <f aca="false">-J105*$C$95</f>
        <v>-3.40971667345599</v>
      </c>
      <c r="K112" s="16" t="n">
        <f aca="false">-K105*$C$95</f>
        <v>-3.48132072359857</v>
      </c>
      <c r="L112" s="16" t="n">
        <f aca="false">-L105*$C$95</f>
        <v>-3.55442845879414</v>
      </c>
      <c r="M112" s="16" t="n">
        <f aca="false">-M105*$C$95</f>
        <v>-3.62907145642881</v>
      </c>
      <c r="N112" s="16" t="n">
        <f aca="false">-N105*$C$95</f>
        <v>-3.70528195701382</v>
      </c>
      <c r="O112" s="16" t="n">
        <f aca="false">-O105*$C$95</f>
        <v>-3.78309287811111</v>
      </c>
      <c r="P112" s="16" t="n">
        <f aca="false">-P105*$C$95</f>
        <v>-3.86253782855144</v>
      </c>
      <c r="Q112" s="16" t="n">
        <f aca="false">-Q105*$C$95</f>
        <v>-3.94365112295102</v>
      </c>
      <c r="R112" s="16" t="n">
        <f aca="false">-R105*$C$95</f>
        <v>-4.02646779653299</v>
      </c>
      <c r="S112" s="16" t="n">
        <f aca="false">-S105*$C$95</f>
        <v>-4.11102362026018</v>
      </c>
      <c r="T112" s="16" t="n">
        <f aca="false">-T105*$C$95</f>
        <v>-4.19735511628565</v>
      </c>
      <c r="U112" s="16" t="n">
        <f aca="false">-U105*$C$95</f>
        <v>-4.28549957372765</v>
      </c>
      <c r="V112" s="16" t="n">
        <f aca="false">-V105*$C$95</f>
        <v>-4.37549506477593</v>
      </c>
      <c r="W112" s="16" t="n">
        <f aca="false">-W105*$C$95</f>
        <v>-4.46738046113622</v>
      </c>
      <c r="X112" s="16" t="n">
        <f aca="false">-X105*$C$95</f>
        <v>-4.56119545082008</v>
      </c>
      <c r="Y112" s="16" t="n">
        <f aca="false">-Y105*$C$95</f>
        <v>-4.6569805552873</v>
      </c>
      <c r="Z112" s="16" t="n">
        <f aca="false">-Z105*$C$95</f>
        <v>-4.75477714694833</v>
      </c>
      <c r="AA112" s="16" t="n">
        <f aca="false">-AA105*$C$95</f>
        <v>-4.85462746703425</v>
      </c>
      <c r="AB112" s="16" t="n">
        <f aca="false">-AB105*$C$95</f>
        <v>-4.95657464384197</v>
      </c>
      <c r="AC112" s="16" t="n">
        <f aca="false">-AC105*$C$95</f>
        <v>-5.06066271136265</v>
      </c>
      <c r="AD112" s="16" t="n">
        <f aca="false">-AD105*$C$95</f>
        <v>-5.16693662830126</v>
      </c>
      <c r="AE112" s="16" t="n">
        <f aca="false">-AE105*$C$95</f>
        <v>-5.27544229749559</v>
      </c>
      <c r="AF112" s="16" t="n">
        <f aca="false">-AF105*$C$95</f>
        <v>-5.386226585743</v>
      </c>
      <c r="AG112" s="16" t="n">
        <f aca="false">-AG105*$C$95</f>
        <v>-5.4993373440436</v>
      </c>
      <c r="AH112" s="16" t="n">
        <f aca="false">-AH105*$C$95</f>
        <v>-5.61482342826851</v>
      </c>
      <c r="AI112" s="16" t="n">
        <f aca="false">-AI105*$C$95</f>
        <v>-5.73273472026215</v>
      </c>
      <c r="AJ112" s="16" t="n">
        <f aca="false">-AJ105*$C$95</f>
        <v>-5.85312214938766</v>
      </c>
      <c r="AK112" s="16" t="n">
        <f aca="false">-AK105*$C$95</f>
        <v>-5.9760377145248</v>
      </c>
      <c r="AL112" s="16" t="n">
        <f aca="false">-AL105*$C$95</f>
        <v>-6.10153450652982</v>
      </c>
      <c r="AM112" s="16" t="n">
        <f aca="false">-AM105*$C$95</f>
        <v>-6.22966673116694</v>
      </c>
      <c r="AN112" s="16" t="n">
        <f aca="false">-AN105*$C$95</f>
        <v>-6.36048973252145</v>
      </c>
      <c r="AO112" s="16" t="n">
        <f aca="false">-AO105*$C$95</f>
        <v>-6.4940600169044</v>
      </c>
      <c r="AP112" s="16" t="n">
        <f aca="false">-AP105*$C$95</f>
        <v>-6.63043527725939</v>
      </c>
      <c r="AQ112" s="16" t="n">
        <f aca="false">-AQ105*$C$95</f>
        <v>-6.76967441808184</v>
      </c>
      <c r="AR112" s="16" t="n">
        <f aca="false">-AR105*$C$95</f>
        <v>-6.91183758086155</v>
      </c>
      <c r="AS112" s="16" t="n">
        <f aca="false">-AS105*$C$95</f>
        <v>-7.05698617005965</v>
      </c>
      <c r="AT112" s="16" t="n">
        <f aca="false">-AT105*$C$95</f>
        <v>-7.2051828796309</v>
      </c>
      <c r="AU112" s="16" t="n">
        <f aca="false">-AU105*$C$95</f>
        <v>-7.35649172010315</v>
      </c>
      <c r="AV112" s="16" t="n">
        <f aca="false">-AV105*$C$95</f>
        <v>-7.51097804622531</v>
      </c>
    </row>
    <row r="113" customFormat="false" ht="15" hidden="false" customHeight="false" outlineLevel="0" collapsed="false">
      <c r="B113" s="12" t="s">
        <v>146</v>
      </c>
      <c r="D113" s="38" t="n">
        <f aca="false">(D106+D110+D111+D112)*D104</f>
        <v>380.874029807553</v>
      </c>
      <c r="E113" s="38" t="n">
        <f aca="false">(E106+E110+E111+E112)*E104</f>
        <v>846.282762170623</v>
      </c>
      <c r="F113" s="38" t="n">
        <f aca="false">(F106+F110+F111+F112)*F104</f>
        <v>866.421973327374</v>
      </c>
      <c r="G113" s="38" t="n">
        <f aca="false">(G106+G110+G111+G112)*G104</f>
        <v>882.199848879906</v>
      </c>
      <c r="H113" s="38" t="n">
        <f aca="false">(H106+H110+H111+H112)*H104</f>
        <v>900.726045706384</v>
      </c>
      <c r="I113" s="38" t="n">
        <f aca="false">(I106+I110+I111+I112)*I104</f>
        <v>919.641292666218</v>
      </c>
      <c r="J113" s="38" t="n">
        <f aca="false">(J106+J110+J111+J112)*J104</f>
        <v>941.526235866489</v>
      </c>
      <c r="K113" s="38" t="n">
        <f aca="false">(K106+K110+K111+K112)*K104</f>
        <v>958.671788768265</v>
      </c>
      <c r="L113" s="38" t="n">
        <f aca="false">(L106+L110+L111+L112)*L104</f>
        <v>978.803896332399</v>
      </c>
      <c r="M113" s="38" t="n">
        <f aca="false">(M106+M110+M111+M112)*M104</f>
        <v>0</v>
      </c>
      <c r="N113" s="38" t="n">
        <f aca="false">(N106+N110+N111+N112)*N104</f>
        <v>0</v>
      </c>
      <c r="O113" s="38" t="n">
        <f aca="false">(O106+O110+O111+O112)*O104</f>
        <v>0</v>
      </c>
      <c r="P113" s="38" t="n">
        <f aca="false">(P106+P110+P111+P112)*P104</f>
        <v>0</v>
      </c>
      <c r="Q113" s="38" t="n">
        <f aca="false">(Q106+Q110+Q111+Q112)*Q104</f>
        <v>0</v>
      </c>
      <c r="R113" s="38" t="n">
        <f aca="false">(R106+R110+R111+R112)*R104</f>
        <v>0</v>
      </c>
      <c r="S113" s="38" t="n">
        <f aca="false">(S106+S110+S111+S112)*S104</f>
        <v>0</v>
      </c>
      <c r="T113" s="38" t="n">
        <f aca="false">(T106+T110+T111+T112)*T104</f>
        <v>0</v>
      </c>
      <c r="U113" s="38" t="n">
        <f aca="false">(U106+U110+U111+U112)*U104</f>
        <v>0</v>
      </c>
      <c r="V113" s="38" t="n">
        <f aca="false">(V106+V110+V111+V112)*V104</f>
        <v>0</v>
      </c>
      <c r="W113" s="38" t="n">
        <f aca="false">(W106+W110+W111+W112)*W104</f>
        <v>0</v>
      </c>
      <c r="X113" s="38" t="n">
        <f aca="false">(X106+X110+X111+X112)*X104</f>
        <v>0</v>
      </c>
      <c r="Y113" s="38" t="n">
        <f aca="false">(Y106+Y110+Y111+Y112)*Y104</f>
        <v>0</v>
      </c>
      <c r="Z113" s="38" t="n">
        <f aca="false">(Z106+Z110+Z111+Z112)*Z104</f>
        <v>0</v>
      </c>
      <c r="AA113" s="38" t="n">
        <f aca="false">(AA106+AA110+AA111+AA112)*AA104</f>
        <v>0</v>
      </c>
      <c r="AB113" s="38" t="n">
        <f aca="false">(AB106+AB110+AB111+AB112)*AB104</f>
        <v>0</v>
      </c>
      <c r="AC113" s="38" t="n">
        <f aca="false">(AC106+AC110+AC111+AC112)*AC104</f>
        <v>0</v>
      </c>
      <c r="AD113" s="38" t="n">
        <f aca="false">(AD106+AD110+AD111+AD112)*AD104</f>
        <v>0</v>
      </c>
      <c r="AE113" s="38" t="n">
        <f aca="false">(AE106+AE110+AE111+AE112)*AE104</f>
        <v>0</v>
      </c>
      <c r="AF113" s="38" t="n">
        <f aca="false">(AF106+AF110+AF111+AF112)*AF104</f>
        <v>0</v>
      </c>
      <c r="AG113" s="38" t="n">
        <f aca="false">(AG106+AG110+AG111+AG112)*AG104</f>
        <v>0</v>
      </c>
      <c r="AH113" s="38" t="n">
        <f aca="false">(AH106+AH110+AH111+AH112)*AH104</f>
        <v>0</v>
      </c>
      <c r="AI113" s="38" t="n">
        <f aca="false">(AI106+AI110+AI111+AI112)*AI104</f>
        <v>0</v>
      </c>
      <c r="AJ113" s="38" t="n">
        <f aca="false">(AJ106+AJ110+AJ111+AJ112)*AJ104</f>
        <v>0</v>
      </c>
      <c r="AK113" s="38" t="n">
        <f aca="false">(AK106+AK110+AK111+AK112)*AK104</f>
        <v>0</v>
      </c>
      <c r="AL113" s="38" t="n">
        <f aca="false">(AL106+AL110+AL111+AL112)*AL104</f>
        <v>0</v>
      </c>
      <c r="AM113" s="38" t="n">
        <f aca="false">(AM106+AM110+AM111+AM112)*AM104</f>
        <v>0</v>
      </c>
      <c r="AN113" s="38" t="n">
        <f aca="false">(AN106+AN110+AN111+AN112)*AN104</f>
        <v>0</v>
      </c>
      <c r="AO113" s="38" t="n">
        <f aca="false">(AO106+AO110+AO111+AO112)*AO104</f>
        <v>0</v>
      </c>
      <c r="AP113" s="38" t="n">
        <f aca="false">(AP106+AP110+AP111+AP112)*AP104</f>
        <v>0</v>
      </c>
      <c r="AQ113" s="38" t="n">
        <f aca="false">(AQ106+AQ110+AQ111+AQ112)*AQ104</f>
        <v>0</v>
      </c>
      <c r="AR113" s="38" t="n">
        <f aca="false">(AR106+AR110+AR111+AR112)*AR104</f>
        <v>0</v>
      </c>
      <c r="AS113" s="38" t="n">
        <f aca="false">(AS106+AS110+AS111+AS112)*AS104</f>
        <v>0</v>
      </c>
      <c r="AT113" s="38" t="n">
        <f aca="false">(AT106+AT110+AT111+AT112)*AT104</f>
        <v>0</v>
      </c>
      <c r="AU113" s="38" t="n">
        <f aca="false">(AU106+AU110+AU111+AU112)*AU104</f>
        <v>0</v>
      </c>
      <c r="AV113" s="38" t="n">
        <f aca="false">(AV106+AV110+AV111+AV112)*AV104</f>
        <v>0</v>
      </c>
    </row>
    <row r="114" customFormat="false" ht="15" hidden="false" customHeight="false" outlineLevel="0" collapsed="false">
      <c r="B114" s="7" t="s">
        <v>147</v>
      </c>
      <c r="D114" s="37" t="n">
        <f aca="false">((MAX(Inputs!$C$5+1,DATE(D$103,1,1))+DATE(D$103,12,31))/2-Inputs!$C$5)/365</f>
        <v>0.253424657534247</v>
      </c>
      <c r="E114" s="37" t="n">
        <f aca="false">((MAX(Inputs!$C$5+1,DATE(E$103,1,1))+DATE(E$103,12,31))/2-Inputs!$C$5)/365</f>
        <v>1.00547945205479</v>
      </c>
      <c r="F114" s="37" t="n">
        <f aca="false">((MAX(Inputs!$C$5+1,DATE(F$103,1,1))+DATE(F$103,12,31))/2-Inputs!$C$5)/365</f>
        <v>2.00684931506849</v>
      </c>
      <c r="G114" s="37" t="n">
        <f aca="false">((MAX(Inputs!$C$5+1,DATE(G$103,1,1))+DATE(G$103,12,31))/2-Inputs!$C$5)/365</f>
        <v>3.00821917808219</v>
      </c>
      <c r="H114" s="37" t="n">
        <f aca="false">((MAX(Inputs!$C$5+1,DATE(H$103,1,1))+DATE(H$103,12,31))/2-Inputs!$C$5)/365</f>
        <v>4.00821917808219</v>
      </c>
      <c r="I114" s="37" t="n">
        <f aca="false">((MAX(Inputs!$C$5+1,DATE(I$103,1,1))+DATE(I$103,12,31))/2-Inputs!$C$5)/365</f>
        <v>5.00821917808219</v>
      </c>
      <c r="J114" s="37" t="n">
        <f aca="false">((MAX(Inputs!$C$5+1,DATE(J$103,1,1))+DATE(J$103,12,31))/2-Inputs!$C$5)/365</f>
        <v>6.00958904109589</v>
      </c>
      <c r="K114" s="37" t="n">
        <f aca="false">((MAX(Inputs!$C$5+1,DATE(K$103,1,1))+DATE(K$103,12,31))/2-Inputs!$C$5)/365</f>
        <v>7.01095890410959</v>
      </c>
      <c r="L114" s="37" t="n">
        <f aca="false">((MAX(Inputs!$C$5+1,DATE(L$103,1,1))+DATE(L$103,12,31))/2-Inputs!$C$5)/365</f>
        <v>8.01095890410959</v>
      </c>
      <c r="M114" s="37" t="n">
        <f aca="false">((MAX(Inputs!$C$5+1,DATE(M$103,1,1))+DATE(M$103,12,31))/2-Inputs!$C$5)/365</f>
        <v>9.01095890410959</v>
      </c>
      <c r="N114" s="37" t="n">
        <f aca="false">((MAX(Inputs!$C$5+1,DATE(N$103,1,1))+DATE(N$103,12,31))/2-Inputs!$C$5)/365</f>
        <v>10.0123287671233</v>
      </c>
      <c r="O114" s="37" t="n">
        <f aca="false">((MAX(Inputs!$C$5+1,DATE(O$103,1,1))+DATE(O$103,12,31))/2-Inputs!$C$5)/365</f>
        <v>11.013698630137</v>
      </c>
      <c r="P114" s="37" t="n">
        <f aca="false">((MAX(Inputs!$C$5+1,DATE(P$103,1,1))+DATE(P$103,12,31))/2-Inputs!$C$5)/365</f>
        <v>12.013698630137</v>
      </c>
      <c r="Q114" s="37" t="n">
        <f aca="false">((MAX(Inputs!$C$5+1,DATE(Q$103,1,1))+DATE(Q$103,12,31))/2-Inputs!$C$5)/365</f>
        <v>13.013698630137</v>
      </c>
      <c r="R114" s="37" t="n">
        <f aca="false">((MAX(Inputs!$C$5+1,DATE(R$103,1,1))+DATE(R$103,12,31))/2-Inputs!$C$5)/365</f>
        <v>14.0150684931507</v>
      </c>
      <c r="S114" s="37" t="n">
        <f aca="false">((MAX(Inputs!$C$5+1,DATE(S$103,1,1))+DATE(S$103,12,31))/2-Inputs!$C$5)/365</f>
        <v>15.0164383561644</v>
      </c>
      <c r="T114" s="37" t="n">
        <f aca="false">((MAX(Inputs!$C$5+1,DATE(T$103,1,1))+DATE(T$103,12,31))/2-Inputs!$C$5)/365</f>
        <v>16.0164383561644</v>
      </c>
      <c r="U114" s="37" t="n">
        <f aca="false">((MAX(Inputs!$C$5+1,DATE(U$103,1,1))+DATE(U$103,12,31))/2-Inputs!$C$5)/365</f>
        <v>17.0164383561644</v>
      </c>
      <c r="V114" s="37" t="n">
        <f aca="false">((MAX(Inputs!$C$5+1,DATE(V$103,1,1))+DATE(V$103,12,31))/2-Inputs!$C$5)/365</f>
        <v>18.0178082191781</v>
      </c>
      <c r="W114" s="37" t="n">
        <f aca="false">((MAX(Inputs!$C$5+1,DATE(W$103,1,1))+DATE(W$103,12,31))/2-Inputs!$C$5)/365</f>
        <v>19.0191780821918</v>
      </c>
      <c r="X114" s="37" t="n">
        <f aca="false">((MAX(Inputs!$C$5+1,DATE(X$103,1,1))+DATE(X$103,12,31))/2-Inputs!$C$5)/365</f>
        <v>20.0191780821918</v>
      </c>
      <c r="Y114" s="37" t="n">
        <f aca="false">((MAX(Inputs!$C$5+1,DATE(Y$103,1,1))+DATE(Y$103,12,31))/2-Inputs!$C$5)/365</f>
        <v>21.0191780821918</v>
      </c>
      <c r="Z114" s="37" t="n">
        <f aca="false">((MAX(Inputs!$C$5+1,DATE(Z$103,1,1))+DATE(Z$103,12,31))/2-Inputs!$C$5)/365</f>
        <v>22.0205479452055</v>
      </c>
      <c r="AA114" s="37" t="n">
        <f aca="false">((MAX(Inputs!$C$5+1,DATE(AA$103,1,1))+DATE(AA$103,12,31))/2-Inputs!$C$5)/365</f>
        <v>23.0219178082192</v>
      </c>
      <c r="AB114" s="37" t="n">
        <f aca="false">((MAX(Inputs!$C$5+1,DATE(AB$103,1,1))+DATE(AB$103,12,31))/2-Inputs!$C$5)/365</f>
        <v>24.0219178082192</v>
      </c>
      <c r="AC114" s="37" t="n">
        <f aca="false">((MAX(Inputs!$C$5+1,DATE(AC$103,1,1))+DATE(AC$103,12,31))/2-Inputs!$C$5)/365</f>
        <v>25.0219178082192</v>
      </c>
      <c r="AD114" s="37" t="n">
        <f aca="false">((MAX(Inputs!$C$5+1,DATE(AD$103,1,1))+DATE(AD$103,12,31))/2-Inputs!$C$5)/365</f>
        <v>26.0232876712329</v>
      </c>
      <c r="AE114" s="37" t="n">
        <f aca="false">((MAX(Inputs!$C$5+1,DATE(AE$103,1,1))+DATE(AE$103,12,31))/2-Inputs!$C$5)/365</f>
        <v>27.0246575342466</v>
      </c>
      <c r="AF114" s="37" t="n">
        <f aca="false">((MAX(Inputs!$C$5+1,DATE(AF$103,1,1))+DATE(AF$103,12,31))/2-Inputs!$C$5)/365</f>
        <v>28.0246575342466</v>
      </c>
      <c r="AG114" s="37" t="n">
        <f aca="false">((MAX(Inputs!$C$5+1,DATE(AG$103,1,1))+DATE(AG$103,12,31))/2-Inputs!$C$5)/365</f>
        <v>29.0246575342466</v>
      </c>
      <c r="AH114" s="37" t="n">
        <f aca="false">((MAX(Inputs!$C$5+1,DATE(AH$103,1,1))+DATE(AH$103,12,31))/2-Inputs!$C$5)/365</f>
        <v>30.0260273972603</v>
      </c>
      <c r="AI114" s="37" t="n">
        <f aca="false">((MAX(Inputs!$C$5+1,DATE(AI$103,1,1))+DATE(AI$103,12,31))/2-Inputs!$C$5)/365</f>
        <v>31.027397260274</v>
      </c>
      <c r="AJ114" s="37" t="n">
        <f aca="false">((MAX(Inputs!$C$5+1,DATE(AJ$103,1,1))+DATE(AJ$103,12,31))/2-Inputs!$C$5)/365</f>
        <v>32.027397260274</v>
      </c>
      <c r="AK114" s="37" t="n">
        <f aca="false">((MAX(Inputs!$C$5+1,DATE(AK$103,1,1))+DATE(AK$103,12,31))/2-Inputs!$C$5)/365</f>
        <v>33.027397260274</v>
      </c>
      <c r="AL114" s="37" t="n">
        <f aca="false">((MAX(Inputs!$C$5+1,DATE(AL$103,1,1))+DATE(AL$103,12,31))/2-Inputs!$C$5)/365</f>
        <v>34.0287671232877</v>
      </c>
      <c r="AM114" s="37" t="n">
        <f aca="false">((MAX(Inputs!$C$5+1,DATE(AM$103,1,1))+DATE(AM$103,12,31))/2-Inputs!$C$5)/365</f>
        <v>35.0301369863014</v>
      </c>
      <c r="AN114" s="37" t="n">
        <f aca="false">((MAX(Inputs!$C$5+1,DATE(AN$103,1,1))+DATE(AN$103,12,31))/2-Inputs!$C$5)/365</f>
        <v>36.0301369863014</v>
      </c>
      <c r="AO114" s="37" t="n">
        <f aca="false">((MAX(Inputs!$C$5+1,DATE(AO$103,1,1))+DATE(AO$103,12,31))/2-Inputs!$C$5)/365</f>
        <v>37.0301369863014</v>
      </c>
      <c r="AP114" s="37" t="n">
        <f aca="false">((MAX(Inputs!$C$5+1,DATE(AP$103,1,1))+DATE(AP$103,12,31))/2-Inputs!$C$5)/365</f>
        <v>38.0315068493151</v>
      </c>
      <c r="AQ114" s="37" t="n">
        <f aca="false">((MAX(Inputs!$C$5+1,DATE(AQ$103,1,1))+DATE(AQ$103,12,31))/2-Inputs!$C$5)/365</f>
        <v>39.0328767123288</v>
      </c>
      <c r="AR114" s="37" t="n">
        <f aca="false">((MAX(Inputs!$C$5+1,DATE(AR$103,1,1))+DATE(AR$103,12,31))/2-Inputs!$C$5)/365</f>
        <v>40.0328767123288</v>
      </c>
      <c r="AS114" s="37" t="n">
        <f aca="false">((MAX(Inputs!$C$5+1,DATE(AS$103,1,1))+DATE(AS$103,12,31))/2-Inputs!$C$5)/365</f>
        <v>41.0328767123288</v>
      </c>
      <c r="AT114" s="37" t="n">
        <f aca="false">((MAX(Inputs!$C$5+1,DATE(AT$103,1,1))+DATE(AT$103,12,31))/2-Inputs!$C$5)/365</f>
        <v>42.0342465753425</v>
      </c>
      <c r="AU114" s="37" t="n">
        <f aca="false">((MAX(Inputs!$C$5+1,DATE(AU$103,1,1))+DATE(AU$103,12,31))/2-Inputs!$C$5)/365</f>
        <v>43.0356164383562</v>
      </c>
      <c r="AV114" s="37" t="n">
        <f aca="false">((MAX(Inputs!$C$5+1,DATE(AV$103,1,1))+DATE(AV$103,12,31))/2-Inputs!$C$5)/365</f>
        <v>44.0356164383562</v>
      </c>
    </row>
    <row r="115" customFormat="false" ht="15" hidden="false" customHeight="false" outlineLevel="0" collapsed="false">
      <c r="B115" s="7" t="s">
        <v>148</v>
      </c>
      <c r="D115" s="39" t="n">
        <f aca="false">1/(1+$C$96)^D114</f>
        <v>0.984167309000933</v>
      </c>
      <c r="E115" s="39" t="n">
        <f aca="false">1/(1+$C$96)^E114</f>
        <v>0.938643185104451</v>
      </c>
      <c r="F115" s="39" t="n">
        <f aca="false">1/(1+$C$96)^F114</f>
        <v>0.881279074936991</v>
      </c>
      <c r="G115" s="39" t="n">
        <f aca="false">1/(1+$C$96)^G114</f>
        <v>0.827420707087299</v>
      </c>
      <c r="H115" s="39" t="n">
        <f aca="false">1/(1+$C$96)^H114</f>
        <v>0.776920851725163</v>
      </c>
      <c r="I115" s="39" t="n">
        <f aca="false">1/(1+$C$96)^I114</f>
        <v>0.729503147159778</v>
      </c>
      <c r="J115" s="39" t="n">
        <f aca="false">1/(1+$C$96)^J114</f>
        <v>0.684920392429049</v>
      </c>
      <c r="K115" s="39" t="n">
        <f aca="false">1/(1+$C$96)^K114</f>
        <v>0.643062262022586</v>
      </c>
      <c r="L115" s="39" t="n">
        <f aca="false">1/(1+$C$96)^L114</f>
        <v>0.603814330537639</v>
      </c>
      <c r="M115" s="39" t="n">
        <f aca="false">1/(1+$C$96)^M114</f>
        <v>0.566961812711398</v>
      </c>
      <c r="N115" s="39" t="n">
        <f aca="false">1/(1+$C$96)^N114</f>
        <v>0.532312586678292</v>
      </c>
      <c r="O115" s="39" t="n">
        <f aca="false">1/(1+$C$96)^O114</f>
        <v>0.499780908666544</v>
      </c>
      <c r="P115" s="39" t="n">
        <f aca="false">1/(1+$C$96)^P114</f>
        <v>0.469277848513187</v>
      </c>
      <c r="Q115" s="39" t="n">
        <f aca="false">1/(1+$C$96)^Q114</f>
        <v>0.440636477477171</v>
      </c>
      <c r="R115" s="39" t="n">
        <f aca="false">1/(1+$C$96)^R114</f>
        <v>0.413707480560213</v>
      </c>
      <c r="S115" s="39" t="n">
        <f aca="false">1/(1+$C$96)^S114</f>
        <v>0.388424218647096</v>
      </c>
      <c r="T115" s="39" t="n">
        <f aca="false">1/(1+$C$96)^T114</f>
        <v>0.364717576194456</v>
      </c>
      <c r="U115" s="39" t="n">
        <f aca="false">1/(1+$C$96)^U114</f>
        <v>0.342457818022963</v>
      </c>
      <c r="V115" s="39" t="n">
        <f aca="false">1/(1+$C$96)^V114</f>
        <v>0.321528898160203</v>
      </c>
      <c r="W115" s="39" t="n">
        <f aca="false">1/(1+$C$96)^W114</f>
        <v>0.301879025419656</v>
      </c>
      <c r="X115" s="39" t="n">
        <f aca="false">1/(1+$C$96)^X114</f>
        <v>0.283454483962119</v>
      </c>
      <c r="Y115" s="39" t="n">
        <f aca="false">1/(1+$C$96)^Y114</f>
        <v>0.266154445034853</v>
      </c>
      <c r="Z115" s="39" t="n">
        <f aca="false">1/(1+$C$96)^Z114</f>
        <v>0.249888718985993</v>
      </c>
      <c r="AA115" s="39" t="n">
        <f aca="false">1/(1+$C$96)^AA114</f>
        <v>0.234617054275699</v>
      </c>
      <c r="AB115" s="39" t="n">
        <f aca="false">1/(1+$C$96)^AB114</f>
        <v>0.220297703545257</v>
      </c>
      <c r="AC115" s="39" t="n">
        <f aca="false">1/(1+$C$96)^AC114</f>
        <v>0.206852303798364</v>
      </c>
      <c r="AD115" s="39" t="n">
        <f aca="false">1/(1+$C$96)^AD114</f>
        <v>0.194210760630752</v>
      </c>
      <c r="AE115" s="39" t="n">
        <f aca="false">1/(1+$C$96)^AE114</f>
        <v>0.182341790988908</v>
      </c>
      <c r="AF115" s="39" t="n">
        <f aca="false">1/(1+$C$96)^AF114</f>
        <v>0.17121294928536</v>
      </c>
      <c r="AG115" s="39" t="n">
        <f aca="false">1/(1+$C$96)^AG114</f>
        <v>0.16076333266231</v>
      </c>
      <c r="AH115" s="39" t="n">
        <f aca="false">1/(1+$C$96)^AH114</f>
        <v>0.150938464520639</v>
      </c>
      <c r="AI115" s="39" t="n">
        <f aca="false">1/(1+$C$96)^AI114</f>
        <v>0.141714032015645</v>
      </c>
      <c r="AJ115" s="39" t="n">
        <f aca="false">1/(1+$C$96)^AJ114</f>
        <v>0.133064818794032</v>
      </c>
      <c r="AK115" s="39" t="n">
        <f aca="false">1/(1+$C$96)^AK114</f>
        <v>0.124943491825383</v>
      </c>
      <c r="AL115" s="39" t="n">
        <f aca="false">1/(1+$C$96)^AL114</f>
        <v>0.117307712496754</v>
      </c>
      <c r="AM115" s="39" t="n">
        <f aca="false">1/(1+$C$96)^AM114</f>
        <v>0.110138585132976</v>
      </c>
      <c r="AN115" s="39" t="n">
        <f aca="false">1/(1+$C$96)^AN114</f>
        <v>0.103416511861949</v>
      </c>
      <c r="AO115" s="39" t="n">
        <f aca="false">1/(1+$C$96)^AO114</f>
        <v>0.0971047059736612</v>
      </c>
      <c r="AP115" s="39" t="n">
        <f aca="false">1/(1+$C$96)^AP114</f>
        <v>0.0911702623643657</v>
      </c>
      <c r="AQ115" s="39" t="n">
        <f aca="false">1/(1+$C$96)^AQ114</f>
        <v>0.0855984955233976</v>
      </c>
      <c r="AR115" s="39" t="n">
        <f aca="false">1/(1+$C$96)^AR114</f>
        <v>0.0803741742003733</v>
      </c>
      <c r="AS115" s="39" t="n">
        <f aca="false">1/(1+$C$96)^AS114</f>
        <v>0.0754687081693646</v>
      </c>
      <c r="AT115" s="39" t="n">
        <f aca="false">1/(1+$C$96)^AT114</f>
        <v>0.0708565239460897</v>
      </c>
      <c r="AU115" s="39" t="n">
        <f aca="false">1/(1+$C$96)^AU114</f>
        <v>0.0665262081133758</v>
      </c>
      <c r="AV115" s="39" t="n">
        <f aca="false">1/(1+$C$96)^AV114</f>
        <v>0.062465923111151</v>
      </c>
    </row>
    <row r="116" customFormat="false" ht="15" hidden="false" customHeight="false" outlineLevel="0" collapsed="false">
      <c r="B116" s="12" t="s">
        <v>149</v>
      </c>
      <c r="D116" s="40" t="n">
        <f aca="false">D113*D115</f>
        <v>374.843768984041</v>
      </c>
      <c r="E116" s="40" t="n">
        <f aca="false">E113*E115</f>
        <v>794.357547382826</v>
      </c>
      <c r="F116" s="40" t="n">
        <f aca="false">F113*F115</f>
        <v>763.55955515903</v>
      </c>
      <c r="G116" s="40" t="n">
        <f aca="false">G113*G115</f>
        <v>729.95042275252</v>
      </c>
      <c r="H116" s="40" t="n">
        <f aca="false">H113*H115</f>
        <v>699.792846601242</v>
      </c>
      <c r="I116" s="40" t="n">
        <f aca="false">I113*I115</f>
        <v>670.881217258092</v>
      </c>
      <c r="J116" s="40" t="n">
        <f aca="false">J113*J115</f>
        <v>644.87051895192</v>
      </c>
      <c r="K116" s="40" t="n">
        <f aca="false">K113*K115</f>
        <v>616.485649022559</v>
      </c>
      <c r="L116" s="40" t="n">
        <f aca="false">L113*L115</f>
        <v>591.01581939158</v>
      </c>
      <c r="M116" s="40" t="n">
        <f aca="false">M113*M115</f>
        <v>0</v>
      </c>
      <c r="N116" s="40" t="n">
        <f aca="false">N113*N115</f>
        <v>0</v>
      </c>
      <c r="O116" s="40" t="n">
        <f aca="false">O113*O115</f>
        <v>0</v>
      </c>
      <c r="P116" s="40" t="n">
        <f aca="false">P113*P115</f>
        <v>0</v>
      </c>
      <c r="Q116" s="40" t="n">
        <f aca="false">Q113*Q115</f>
        <v>0</v>
      </c>
      <c r="R116" s="40" t="n">
        <f aca="false">R113*R115</f>
        <v>0</v>
      </c>
      <c r="S116" s="40" t="n">
        <f aca="false">S113*S115</f>
        <v>0</v>
      </c>
      <c r="T116" s="40" t="n">
        <f aca="false">T113*T115</f>
        <v>0</v>
      </c>
      <c r="U116" s="40" t="n">
        <f aca="false">U113*U115</f>
        <v>0</v>
      </c>
      <c r="V116" s="40" t="n">
        <f aca="false">V113*V115</f>
        <v>0</v>
      </c>
      <c r="W116" s="40" t="n">
        <f aca="false">W113*W115</f>
        <v>0</v>
      </c>
      <c r="X116" s="40" t="n">
        <f aca="false">X113*X115</f>
        <v>0</v>
      </c>
      <c r="Y116" s="40" t="n">
        <f aca="false">Y113*Y115</f>
        <v>0</v>
      </c>
      <c r="Z116" s="40" t="n">
        <f aca="false">Z113*Z115</f>
        <v>0</v>
      </c>
      <c r="AA116" s="40" t="n">
        <f aca="false">AA113*AA115</f>
        <v>0</v>
      </c>
      <c r="AB116" s="40" t="n">
        <f aca="false">AB113*AB115</f>
        <v>0</v>
      </c>
      <c r="AC116" s="40" t="n">
        <f aca="false">AC113*AC115</f>
        <v>0</v>
      </c>
      <c r="AD116" s="40" t="n">
        <f aca="false">AD113*AD115</f>
        <v>0</v>
      </c>
      <c r="AE116" s="40" t="n">
        <f aca="false">AE113*AE115</f>
        <v>0</v>
      </c>
      <c r="AF116" s="40" t="n">
        <f aca="false">AF113*AF115</f>
        <v>0</v>
      </c>
      <c r="AG116" s="40" t="n">
        <f aca="false">AG113*AG115</f>
        <v>0</v>
      </c>
      <c r="AH116" s="40" t="n">
        <f aca="false">AH113*AH115</f>
        <v>0</v>
      </c>
      <c r="AI116" s="40" t="n">
        <f aca="false">AI113*AI115</f>
        <v>0</v>
      </c>
      <c r="AJ116" s="40" t="n">
        <f aca="false">AJ113*AJ115</f>
        <v>0</v>
      </c>
      <c r="AK116" s="40" t="n">
        <f aca="false">AK113*AK115</f>
        <v>0</v>
      </c>
      <c r="AL116" s="40" t="n">
        <f aca="false">AL113*AL115</f>
        <v>0</v>
      </c>
      <c r="AM116" s="40" t="n">
        <f aca="false">AM113*AM115</f>
        <v>0</v>
      </c>
      <c r="AN116" s="40" t="n">
        <f aca="false">AN113*AN115</f>
        <v>0</v>
      </c>
      <c r="AO116" s="40" t="n">
        <f aca="false">AO113*AO115</f>
        <v>0</v>
      </c>
      <c r="AP116" s="40" t="n">
        <f aca="false">AP113*AP115</f>
        <v>0</v>
      </c>
      <c r="AQ116" s="40" t="n">
        <f aca="false">AQ113*AQ115</f>
        <v>0</v>
      </c>
      <c r="AR116" s="40" t="n">
        <f aca="false">AR113*AR115</f>
        <v>0</v>
      </c>
      <c r="AS116" s="40" t="n">
        <f aca="false">AS113*AS115</f>
        <v>0</v>
      </c>
      <c r="AT116" s="40" t="n">
        <f aca="false">AT113*AT115</f>
        <v>0</v>
      </c>
      <c r="AU116" s="40" t="n">
        <f aca="false">AU113*AU115</f>
        <v>0</v>
      </c>
      <c r="AV116" s="40" t="n">
        <f aca="false">AV113*AV115</f>
        <v>0</v>
      </c>
    </row>
    <row r="117" customFormat="false" ht="15" hidden="false" customHeight="false" outlineLevel="0" collapsed="false">
      <c r="B117" s="7" t="s">
        <v>150</v>
      </c>
      <c r="D117" s="16" t="n">
        <f aca="false">IF(AND($C$97=0,D$103=$C$99),D106-D105*($C$101+$C$95)-MAX(0,D106-D105*$C$101)*Inputs!$C$11,0)</f>
        <v>0</v>
      </c>
      <c r="E117" s="16" t="n">
        <f aca="false">IF(AND($C$97=0,E$103=$C$99),E106-E105*($C$101+$C$95)-MAX(0,E106-E105*$C$101)*Inputs!$C$11,0)</f>
        <v>0</v>
      </c>
      <c r="F117" s="16" t="n">
        <f aca="false">IF(AND($C$97=0,F$103=$C$99),F106-F105*($C$101+$C$95)-MAX(0,F106-F105*$C$101)*Inputs!$C$11,0)</f>
        <v>0</v>
      </c>
      <c r="G117" s="16" t="n">
        <f aca="false">IF(AND($C$97=0,G$103=$C$99),G106-G105*($C$101+$C$95)-MAX(0,G106-G105*$C$101)*Inputs!$C$11,0)</f>
        <v>0</v>
      </c>
      <c r="H117" s="16" t="n">
        <f aca="false">IF(AND($C$97=0,H$103=$C$99),H106-H105*($C$101+$C$95)-MAX(0,H106-H105*$C$101)*Inputs!$C$11,0)</f>
        <v>0</v>
      </c>
      <c r="I117" s="16" t="n">
        <f aca="false">IF(AND($C$97=0,I$103=$C$99),I106-I105*($C$101+$C$95)-MAX(0,I106-I105*$C$101)*Inputs!$C$11,0)</f>
        <v>0</v>
      </c>
      <c r="J117" s="16" t="n">
        <f aca="false">IF(AND($C$97=0,J$103=$C$99),J106-J105*($C$101+$C$95)-MAX(0,J106-J105*$C$101)*Inputs!$C$11,0)</f>
        <v>0</v>
      </c>
      <c r="K117" s="16" t="n">
        <f aca="false">IF(AND($C$97=0,K$103=$C$99),K106-K105*($C$101+$C$95)-MAX(0,K106-K105*$C$101)*Inputs!$C$11,0)</f>
        <v>0</v>
      </c>
      <c r="L117" s="16" t="n">
        <f aca="false">IF(AND($C$97=0,L$103=$C$99),L106-L105*($C$101+$C$95)-MAX(0,L106-L105*$C$101)*Inputs!$C$11,0)</f>
        <v>0</v>
      </c>
      <c r="M117" s="16" t="n">
        <f aca="false">IF(AND($C$97=0,M$103=$C$99),M106-M105*($C$101+$C$95)-MAX(0,M106-M105*$C$101)*Inputs!$C$11,0)</f>
        <v>0</v>
      </c>
      <c r="N117" s="16" t="n">
        <f aca="false">IF(AND($C$97=0,N$103=$C$99),N106-N105*($C$101+$C$95)-MAX(0,N106-N105*$C$101)*Inputs!$C$11,0)</f>
        <v>0</v>
      </c>
      <c r="O117" s="16" t="n">
        <f aca="false">IF(AND($C$97=0,O$103=$C$99),O106-O105*($C$101+$C$95)-MAX(0,O106-O105*$C$101)*Inputs!$C$11,0)</f>
        <v>0</v>
      </c>
      <c r="P117" s="16" t="n">
        <f aca="false">IF(AND($C$97=0,P$103=$C$99),P106-P105*($C$101+$C$95)-MAX(0,P106-P105*$C$101)*Inputs!$C$11,0)</f>
        <v>0</v>
      </c>
      <c r="Q117" s="16" t="n">
        <f aca="false">IF(AND($C$97=0,Q$103=$C$99),Q106-Q105*($C$101+$C$95)-MAX(0,Q106-Q105*$C$101)*Inputs!$C$11,0)</f>
        <v>0</v>
      </c>
      <c r="R117" s="16" t="n">
        <f aca="false">IF(AND($C$97=0,R$103=$C$99),R106-R105*($C$101+$C$95)-MAX(0,R106-R105*$C$101)*Inputs!$C$11,0)</f>
        <v>0</v>
      </c>
      <c r="S117" s="16" t="n">
        <f aca="false">IF(AND($C$97=0,S$103=$C$99),S106-S105*($C$101+$C$95)-MAX(0,S106-S105*$C$101)*Inputs!$C$11,0)</f>
        <v>0</v>
      </c>
      <c r="T117" s="16" t="n">
        <f aca="false">IF(AND($C$97=0,T$103=$C$99),T106-T105*($C$101+$C$95)-MAX(0,T106-T105*$C$101)*Inputs!$C$11,0)</f>
        <v>0</v>
      </c>
      <c r="U117" s="16" t="n">
        <f aca="false">IF(AND($C$97=0,U$103=$C$99),U106-U105*($C$101+$C$95)-MAX(0,U106-U105*$C$101)*Inputs!$C$11,0)</f>
        <v>0</v>
      </c>
      <c r="V117" s="16" t="n">
        <f aca="false">IF(AND($C$97=0,V$103=$C$99),V106-V105*($C$101+$C$95)-MAX(0,V106-V105*$C$101)*Inputs!$C$11,0)</f>
        <v>0</v>
      </c>
      <c r="W117" s="16" t="n">
        <f aca="false">IF(AND($C$97=0,W$103=$C$99),W106-W105*($C$101+$C$95)-MAX(0,W106-W105*$C$101)*Inputs!$C$11,0)</f>
        <v>0</v>
      </c>
      <c r="X117" s="16" t="n">
        <f aca="false">IF(AND($C$97=0,X$103=$C$99),X106-X105*($C$101+$C$95)-MAX(0,X106-X105*$C$101)*Inputs!$C$11,0)</f>
        <v>0</v>
      </c>
      <c r="Y117" s="16" t="n">
        <f aca="false">IF(AND($C$97=0,Y$103=$C$99),Y106-Y105*($C$101+$C$95)-MAX(0,Y106-Y105*$C$101)*Inputs!$C$11,0)</f>
        <v>0</v>
      </c>
      <c r="Z117" s="16" t="n">
        <f aca="false">IF(AND($C$97=0,Z$103=$C$99),Z106-Z105*($C$101+$C$95)-MAX(0,Z106-Z105*$C$101)*Inputs!$C$11,0)</f>
        <v>0</v>
      </c>
      <c r="AA117" s="16" t="n">
        <f aca="false">IF(AND($C$97=0,AA$103=$C$99),AA106-AA105*($C$101+$C$95)-MAX(0,AA106-AA105*$C$101)*Inputs!$C$11,0)</f>
        <v>0</v>
      </c>
      <c r="AB117" s="16" t="n">
        <f aca="false">IF(AND($C$97=0,AB$103=$C$99),AB106-AB105*($C$101+$C$95)-MAX(0,AB106-AB105*$C$101)*Inputs!$C$11,0)</f>
        <v>0</v>
      </c>
      <c r="AC117" s="16" t="n">
        <f aca="false">IF(AND($C$97=0,AC$103=$C$99),AC106-AC105*($C$101+$C$95)-MAX(0,AC106-AC105*$C$101)*Inputs!$C$11,0)</f>
        <v>0</v>
      </c>
      <c r="AD117" s="16" t="n">
        <f aca="false">IF(AND($C$97=0,AD$103=$C$99),AD106-AD105*($C$101+$C$95)-MAX(0,AD106-AD105*$C$101)*Inputs!$C$11,0)</f>
        <v>0</v>
      </c>
      <c r="AE117" s="16" t="n">
        <f aca="false">IF(AND($C$97=0,AE$103=$C$99),AE106-AE105*($C$101+$C$95)-MAX(0,AE106-AE105*$C$101)*Inputs!$C$11,0)</f>
        <v>0</v>
      </c>
      <c r="AF117" s="16" t="n">
        <f aca="false">IF(AND($C$97=0,AF$103=$C$99),AF106-AF105*($C$101+$C$95)-MAX(0,AF106-AF105*$C$101)*Inputs!$C$11,0)</f>
        <v>0</v>
      </c>
      <c r="AG117" s="16" t="n">
        <f aca="false">IF(AND($C$97=0,AG$103=$C$99),AG106-AG105*($C$101+$C$95)-MAX(0,AG106-AG105*$C$101)*Inputs!$C$11,0)</f>
        <v>0</v>
      </c>
      <c r="AH117" s="16" t="n">
        <f aca="false">IF(AND($C$97=0,AH$103=$C$99),AH106-AH105*($C$101+$C$95)-MAX(0,AH106-AH105*$C$101)*Inputs!$C$11,0)</f>
        <v>0</v>
      </c>
      <c r="AI117" s="16" t="n">
        <f aca="false">IF(AND($C$97=0,AI$103=$C$99),AI106-AI105*($C$101+$C$95)-MAX(0,AI106-AI105*$C$101)*Inputs!$C$11,0)</f>
        <v>0</v>
      </c>
      <c r="AJ117" s="16" t="n">
        <f aca="false">IF(AND($C$97=0,AJ$103=$C$99),AJ106-AJ105*($C$101+$C$95)-MAX(0,AJ106-AJ105*$C$101)*Inputs!$C$11,0)</f>
        <v>0</v>
      </c>
      <c r="AK117" s="16" t="n">
        <f aca="false">IF(AND($C$97=0,AK$103=$C$99),AK106-AK105*($C$101+$C$95)-MAX(0,AK106-AK105*$C$101)*Inputs!$C$11,0)</f>
        <v>0</v>
      </c>
      <c r="AL117" s="16" t="n">
        <f aca="false">IF(AND($C$97=0,AL$103=$C$99),AL106-AL105*($C$101+$C$95)-MAX(0,AL106-AL105*$C$101)*Inputs!$C$11,0)</f>
        <v>0</v>
      </c>
      <c r="AM117" s="16" t="n">
        <f aca="false">IF(AND($C$97=0,AM$103=$C$99),AM106-AM105*($C$101+$C$95)-MAX(0,AM106-AM105*$C$101)*Inputs!$C$11,0)</f>
        <v>0</v>
      </c>
      <c r="AN117" s="16" t="n">
        <f aca="false">IF(AND($C$97=0,AN$103=$C$99),AN106-AN105*($C$101+$C$95)-MAX(0,AN106-AN105*$C$101)*Inputs!$C$11,0)</f>
        <v>0</v>
      </c>
      <c r="AO117" s="16" t="n">
        <f aca="false">IF(AND($C$97=0,AO$103=$C$99),AO106-AO105*($C$101+$C$95)-MAX(0,AO106-AO105*$C$101)*Inputs!$C$11,0)</f>
        <v>0</v>
      </c>
      <c r="AP117" s="16" t="n">
        <f aca="false">IF(AND($C$97=0,AP$103=$C$99),AP106-AP105*($C$101+$C$95)-MAX(0,AP106-AP105*$C$101)*Inputs!$C$11,0)</f>
        <v>0</v>
      </c>
      <c r="AQ117" s="16" t="n">
        <f aca="false">IF(AND($C$97=0,AQ$103=$C$99),AQ106-AQ105*($C$101+$C$95)-MAX(0,AQ106-AQ105*$C$101)*Inputs!$C$11,0)</f>
        <v>0</v>
      </c>
      <c r="AR117" s="16" t="n">
        <f aca="false">IF(AND($C$97=0,AR$103=$C$99),AR106-AR105*($C$101+$C$95)-MAX(0,AR106-AR105*$C$101)*Inputs!$C$11,0)</f>
        <v>0</v>
      </c>
      <c r="AS117" s="16" t="n">
        <f aca="false">IF(AND($C$97=0,AS$103=$C$99),AS106-AS105*($C$101+$C$95)-MAX(0,AS106-AS105*$C$101)*Inputs!$C$11,0)</f>
        <v>0</v>
      </c>
      <c r="AT117" s="16" t="n">
        <f aca="false">IF(AND($C$97=0,AT$103=$C$99),AT106-AT105*($C$101+$C$95)-MAX(0,AT106-AT105*$C$101)*Inputs!$C$11,0)</f>
        <v>0</v>
      </c>
      <c r="AU117" s="16" t="n">
        <f aca="false">IF(AND($C$97=0,AU$103=$C$99),AU106-AU105*($C$101+$C$95)-MAX(0,AU106-AU105*$C$101)*Inputs!$C$11,0)</f>
        <v>0</v>
      </c>
      <c r="AV117" s="16" t="n">
        <f aca="false">IF(AND($C$97=0,AV$103=$C$99),AV106-AV105*($C$101+$C$95)-MAX(0,AV106-AV105*$C$101)*Inputs!$C$11,0)</f>
        <v>0</v>
      </c>
    </row>
    <row r="118" customFormat="false" ht="15" hidden="false" customHeight="false" outlineLevel="0" collapsed="false">
      <c r="B118" s="7" t="s">
        <v>151</v>
      </c>
      <c r="D118" s="16" t="n">
        <f aca="false">D117*(1+$C$100)/($C$96-$C$100)*D115</f>
        <v>0</v>
      </c>
      <c r="E118" s="16" t="n">
        <f aca="false">E117*(1+$C$100)/($C$96-$C$100)*E115</f>
        <v>0</v>
      </c>
      <c r="F118" s="16" t="n">
        <f aca="false">F117*(1+$C$100)/($C$96-$C$100)*F115</f>
        <v>0</v>
      </c>
      <c r="G118" s="16" t="n">
        <f aca="false">G117*(1+$C$100)/($C$96-$C$100)*G115</f>
        <v>0</v>
      </c>
      <c r="H118" s="16" t="n">
        <f aca="false">H117*(1+$C$100)/($C$96-$C$100)*H115</f>
        <v>0</v>
      </c>
      <c r="I118" s="16" t="n">
        <f aca="false">I117*(1+$C$100)/($C$96-$C$100)*I115</f>
        <v>0</v>
      </c>
      <c r="J118" s="16" t="n">
        <f aca="false">J117*(1+$C$100)/($C$96-$C$100)*J115</f>
        <v>0</v>
      </c>
      <c r="K118" s="16" t="n">
        <f aca="false">K117*(1+$C$100)/($C$96-$C$100)*K115</f>
        <v>0</v>
      </c>
      <c r="L118" s="16" t="n">
        <f aca="false">L117*(1+$C$100)/($C$96-$C$100)*L115</f>
        <v>0</v>
      </c>
      <c r="M118" s="16" t="n">
        <f aca="false">M117*(1+$C$100)/($C$96-$C$100)*M115</f>
        <v>0</v>
      </c>
      <c r="N118" s="16" t="n">
        <f aca="false">N117*(1+$C$100)/($C$96-$C$100)*N115</f>
        <v>0</v>
      </c>
      <c r="O118" s="16" t="n">
        <f aca="false">O117*(1+$C$100)/($C$96-$C$100)*O115</f>
        <v>0</v>
      </c>
      <c r="P118" s="16" t="n">
        <f aca="false">P117*(1+$C$100)/($C$96-$C$100)*P115</f>
        <v>0</v>
      </c>
      <c r="Q118" s="16" t="n">
        <f aca="false">Q117*(1+$C$100)/($C$96-$C$100)*Q115</f>
        <v>0</v>
      </c>
      <c r="R118" s="16" t="n">
        <f aca="false">R117*(1+$C$100)/($C$96-$C$100)*R115</f>
        <v>0</v>
      </c>
      <c r="S118" s="16" t="n">
        <f aca="false">S117*(1+$C$100)/($C$96-$C$100)*S115</f>
        <v>0</v>
      </c>
      <c r="T118" s="16" t="n">
        <f aca="false">T117*(1+$C$100)/($C$96-$C$100)*T115</f>
        <v>0</v>
      </c>
      <c r="U118" s="16" t="n">
        <f aca="false">U117*(1+$C$100)/($C$96-$C$100)*U115</f>
        <v>0</v>
      </c>
      <c r="V118" s="16" t="n">
        <f aca="false">V117*(1+$C$100)/($C$96-$C$100)*V115</f>
        <v>0</v>
      </c>
      <c r="W118" s="16" t="n">
        <f aca="false">W117*(1+$C$100)/($C$96-$C$100)*W115</f>
        <v>0</v>
      </c>
      <c r="X118" s="16" t="n">
        <f aca="false">X117*(1+$C$100)/($C$96-$C$100)*X115</f>
        <v>0</v>
      </c>
      <c r="Y118" s="16" t="n">
        <f aca="false">Y117*(1+$C$100)/($C$96-$C$100)*Y115</f>
        <v>0</v>
      </c>
      <c r="Z118" s="16" t="n">
        <f aca="false">Z117*(1+$C$100)/($C$96-$C$100)*Z115</f>
        <v>0</v>
      </c>
      <c r="AA118" s="16" t="n">
        <f aca="false">AA117*(1+$C$100)/($C$96-$C$100)*AA115</f>
        <v>0</v>
      </c>
      <c r="AB118" s="16" t="n">
        <f aca="false">AB117*(1+$C$100)/($C$96-$C$100)*AB115</f>
        <v>0</v>
      </c>
      <c r="AC118" s="16" t="n">
        <f aca="false">AC117*(1+$C$100)/($C$96-$C$100)*AC115</f>
        <v>0</v>
      </c>
      <c r="AD118" s="16" t="n">
        <f aca="false">AD117*(1+$C$100)/($C$96-$C$100)*AD115</f>
        <v>0</v>
      </c>
      <c r="AE118" s="16" t="n">
        <f aca="false">AE117*(1+$C$100)/($C$96-$C$100)*AE115</f>
        <v>0</v>
      </c>
      <c r="AF118" s="16" t="n">
        <f aca="false">AF117*(1+$C$100)/($C$96-$C$100)*AF115</f>
        <v>0</v>
      </c>
      <c r="AG118" s="16" t="n">
        <f aca="false">AG117*(1+$C$100)/($C$96-$C$100)*AG115</f>
        <v>0</v>
      </c>
      <c r="AH118" s="16" t="n">
        <f aca="false">AH117*(1+$C$100)/($C$96-$C$100)*AH115</f>
        <v>0</v>
      </c>
      <c r="AI118" s="16" t="n">
        <f aca="false">AI117*(1+$C$100)/($C$96-$C$100)*AI115</f>
        <v>0</v>
      </c>
      <c r="AJ118" s="16" t="n">
        <f aca="false">AJ117*(1+$C$100)/($C$96-$C$100)*AJ115</f>
        <v>0</v>
      </c>
      <c r="AK118" s="16" t="n">
        <f aca="false">AK117*(1+$C$100)/($C$96-$C$100)*AK115</f>
        <v>0</v>
      </c>
      <c r="AL118" s="16" t="n">
        <f aca="false">AL117*(1+$C$100)/($C$96-$C$100)*AL115</f>
        <v>0</v>
      </c>
      <c r="AM118" s="16" t="n">
        <f aca="false">AM117*(1+$C$100)/($C$96-$C$100)*AM115</f>
        <v>0</v>
      </c>
      <c r="AN118" s="16" t="n">
        <f aca="false">AN117*(1+$C$100)/($C$96-$C$100)*AN115</f>
        <v>0</v>
      </c>
      <c r="AO118" s="16" t="n">
        <f aca="false">AO117*(1+$C$100)/($C$96-$C$100)*AO115</f>
        <v>0</v>
      </c>
      <c r="AP118" s="16" t="n">
        <f aca="false">AP117*(1+$C$100)/($C$96-$C$100)*AP115</f>
        <v>0</v>
      </c>
      <c r="AQ118" s="16" t="n">
        <f aca="false">AQ117*(1+$C$100)/($C$96-$C$100)*AQ115</f>
        <v>0</v>
      </c>
      <c r="AR118" s="16" t="n">
        <f aca="false">AR117*(1+$C$100)/($C$96-$C$100)*AR115</f>
        <v>0</v>
      </c>
      <c r="AS118" s="16" t="n">
        <f aca="false">AS117*(1+$C$100)/($C$96-$C$100)*AS115</f>
        <v>0</v>
      </c>
      <c r="AT118" s="16" t="n">
        <f aca="false">AT117*(1+$C$100)/($C$96-$C$100)*AT115</f>
        <v>0</v>
      </c>
      <c r="AU118" s="16" t="n">
        <f aca="false">AU117*(1+$C$100)/($C$96-$C$100)*AU115</f>
        <v>0</v>
      </c>
      <c r="AV118" s="16" t="n">
        <f aca="false">AV117*(1+$C$100)/($C$96-$C$100)*AV115</f>
        <v>0</v>
      </c>
    </row>
    <row r="120" customFormat="false" ht="15" hidden="false" customHeight="false" outlineLevel="0" collapsed="false">
      <c r="B120" s="7" t="s">
        <v>152</v>
      </c>
      <c r="C120" s="16" t="n">
        <f aca="false">SUM($D$116:$AV$116)</f>
        <v>5885.75734550381</v>
      </c>
    </row>
    <row r="121" customFormat="false" ht="15" hidden="false" customHeight="false" outlineLevel="0" collapsed="false">
      <c r="B121" s="7" t="s">
        <v>151</v>
      </c>
      <c r="C121" s="16" t="n">
        <f aca="false">SUM($D$118:$AV$118)</f>
        <v>0</v>
      </c>
    </row>
    <row r="122" customFormat="false" ht="15" hidden="false" customHeight="false" outlineLevel="0" collapsed="false">
      <c r="B122" s="12" t="s">
        <v>162</v>
      </c>
      <c r="C122" s="13" t="n">
        <f aca="false">C120+C121</f>
        <v>5885.75734550381</v>
      </c>
    </row>
    <row r="123" customFormat="false" ht="15" hidden="false" customHeight="false" outlineLevel="0" collapsed="false">
      <c r="B123" s="7" t="s">
        <v>154</v>
      </c>
      <c r="C123" s="10" t="n">
        <f aca="false">IF(C122=0,0,C121/C122)</f>
        <v>0</v>
      </c>
    </row>
    <row r="124" customFormat="false" ht="15" hidden="false" customHeight="false" outlineLevel="0" collapsed="false">
      <c r="B124" s="7" t="s">
        <v>155</v>
      </c>
      <c r="C124" s="41" t="n">
        <f aca="false">IF(D106=0,0,C122/D106)</f>
        <v>4.95389657519157</v>
      </c>
    </row>
    <row r="125" customFormat="false" ht="15" hidden="false" customHeight="false" outlineLevel="0" collapsed="false">
      <c r="B125" s="7" t="s">
        <v>156</v>
      </c>
      <c r="C125" s="16" t="n">
        <f aca="false">SUM($D$117:$AV$117)</f>
        <v>0</v>
      </c>
    </row>
    <row r="126" customFormat="false" ht="15" hidden="false" customHeight="false" outlineLevel="0" collapsed="false">
      <c r="B126" s="7" t="s">
        <v>157</v>
      </c>
      <c r="C126" s="37" t="n">
        <f aca="false">SUMPRODUCT(($D$103:$AV$103=$C$99)*$D$114:$AV$114)</f>
        <v>0</v>
      </c>
    </row>
    <row r="127" customFormat="false" ht="15" hidden="false" customHeight="false" outlineLevel="0" collapsed="false">
      <c r="B127" s="12" t="s">
        <v>158</v>
      </c>
      <c r="C127" s="12" t="str">
        <f aca="false">IF(AND($C$96&gt;$C$100,SUMPRODUCT(($D$103:$AV$103&gt;YEAR($C$98))*($C$97=1)*ABS($D$113:$AV$113))=0),"OK","REVISAR")</f>
        <v>OK</v>
      </c>
    </row>
    <row r="130" customFormat="false" ht="15" hidden="false" customHeight="false" outlineLevel="0" collapsed="false">
      <c r="B130" s="22" t="s">
        <v>29</v>
      </c>
      <c r="C130" s="22"/>
      <c r="D130" s="22"/>
      <c r="E130" s="22"/>
      <c r="F130" s="22"/>
    </row>
    <row r="131" customFormat="false" ht="15" hidden="false" customHeight="true" outlineLevel="0" collapsed="false">
      <c r="B131" s="7" t="s">
        <v>122</v>
      </c>
      <c r="C131" s="31" t="n">
        <v>159</v>
      </c>
      <c r="D131" s="33" t="s">
        <v>163</v>
      </c>
      <c r="E131" s="33"/>
      <c r="F131" s="33"/>
      <c r="G131" s="33"/>
      <c r="H131" s="33"/>
      <c r="I131" s="33"/>
      <c r="J131" s="33"/>
      <c r="K131" s="33"/>
      <c r="L131" s="33"/>
      <c r="M131" s="33"/>
      <c r="N131" s="33"/>
    </row>
    <row r="132" customFormat="false" ht="15" hidden="false" customHeight="false" outlineLevel="0" collapsed="false">
      <c r="B132" s="7" t="s">
        <v>124</v>
      </c>
      <c r="C132" s="29" t="n">
        <v>-0.007</v>
      </c>
      <c r="D132" s="33"/>
      <c r="E132" s="33"/>
      <c r="F132" s="33"/>
      <c r="G132" s="33"/>
      <c r="H132" s="33"/>
      <c r="I132" s="33"/>
      <c r="J132" s="33"/>
      <c r="K132" s="33"/>
      <c r="L132" s="33"/>
      <c r="M132" s="33"/>
      <c r="N132" s="33"/>
    </row>
    <row r="133" customFormat="false" ht="15" hidden="false" customHeight="false" outlineLevel="0" collapsed="false">
      <c r="B133" s="7" t="s">
        <v>125</v>
      </c>
      <c r="C133" s="30" t="n">
        <v>0.021</v>
      </c>
      <c r="D133" s="33"/>
      <c r="E133" s="33"/>
      <c r="F133" s="33"/>
      <c r="G133" s="33"/>
      <c r="H133" s="33"/>
      <c r="I133" s="33"/>
      <c r="J133" s="33"/>
      <c r="K133" s="33"/>
      <c r="L133" s="33"/>
      <c r="M133" s="33"/>
      <c r="N133" s="33"/>
    </row>
    <row r="134" customFormat="false" ht="15" hidden="false" customHeight="false" outlineLevel="0" collapsed="false">
      <c r="B134" s="7" t="s">
        <v>126</v>
      </c>
      <c r="C134" s="29" t="n">
        <v>0.7105</v>
      </c>
      <c r="D134" s="33"/>
      <c r="E134" s="33"/>
      <c r="F134" s="33"/>
      <c r="G134" s="33"/>
      <c r="H134" s="33"/>
      <c r="I134" s="33"/>
      <c r="J134" s="33"/>
      <c r="K134" s="33"/>
      <c r="L134" s="33"/>
      <c r="M134" s="33"/>
      <c r="N134" s="33"/>
    </row>
    <row r="135" customFormat="false" ht="15" hidden="false" customHeight="false" outlineLevel="0" collapsed="false">
      <c r="B135" s="7" t="s">
        <v>127</v>
      </c>
      <c r="C135" s="29" t="n">
        <v>0.2232</v>
      </c>
      <c r="D135" s="33"/>
      <c r="E135" s="33"/>
      <c r="F135" s="33"/>
      <c r="G135" s="33"/>
      <c r="H135" s="33"/>
      <c r="I135" s="33"/>
      <c r="J135" s="33"/>
      <c r="K135" s="33"/>
      <c r="L135" s="33"/>
      <c r="M135" s="33"/>
      <c r="N135" s="33"/>
    </row>
    <row r="136" customFormat="false" ht="15" hidden="false" customHeight="false" outlineLevel="0" collapsed="false">
      <c r="B136" s="7" t="s">
        <v>128</v>
      </c>
      <c r="C136" s="29" t="n">
        <v>0.0873</v>
      </c>
      <c r="D136" s="33"/>
      <c r="E136" s="33"/>
      <c r="F136" s="33"/>
      <c r="G136" s="33"/>
      <c r="H136" s="33"/>
      <c r="I136" s="33"/>
      <c r="J136" s="33"/>
      <c r="K136" s="33"/>
      <c r="L136" s="33"/>
      <c r="M136" s="33"/>
      <c r="N136" s="33"/>
    </row>
    <row r="137" customFormat="false" ht="15" hidden="false" customHeight="false" outlineLevel="0" collapsed="false">
      <c r="B137" s="7" t="s">
        <v>129</v>
      </c>
      <c r="C137" s="29" t="n">
        <v>0.0018</v>
      </c>
      <c r="D137" s="33"/>
      <c r="E137" s="33"/>
      <c r="F137" s="33"/>
      <c r="G137" s="33"/>
      <c r="H137" s="33"/>
      <c r="I137" s="33"/>
      <c r="J137" s="33"/>
      <c r="K137" s="33"/>
      <c r="L137" s="33"/>
      <c r="M137" s="33"/>
      <c r="N137" s="33"/>
    </row>
    <row r="138" customFormat="false" ht="15" hidden="false" customHeight="false" outlineLevel="0" collapsed="false">
      <c r="B138" s="7" t="s">
        <v>130</v>
      </c>
      <c r="C138" s="30" t="n">
        <v>0.065</v>
      </c>
      <c r="D138" s="33"/>
      <c r="E138" s="33"/>
      <c r="F138" s="33"/>
      <c r="G138" s="33"/>
      <c r="H138" s="33"/>
      <c r="I138" s="33"/>
      <c r="J138" s="33"/>
      <c r="K138" s="33"/>
      <c r="L138" s="33"/>
      <c r="M138" s="33"/>
      <c r="N138" s="33"/>
    </row>
    <row r="139" customFormat="false" ht="15" hidden="false" customHeight="false" outlineLevel="0" collapsed="false">
      <c r="B139" s="7" t="s">
        <v>131</v>
      </c>
      <c r="C139" s="34" t="n">
        <v>1</v>
      </c>
      <c r="D139" s="33"/>
      <c r="E139" s="33"/>
      <c r="F139" s="33"/>
      <c r="G139" s="33"/>
      <c r="H139" s="33"/>
      <c r="I139" s="33"/>
      <c r="J139" s="33"/>
      <c r="K139" s="33"/>
      <c r="L139" s="33"/>
      <c r="M139" s="33"/>
      <c r="N139" s="33"/>
    </row>
    <row r="140" customFormat="false" ht="15" hidden="false" customHeight="false" outlineLevel="0" collapsed="false">
      <c r="B140" s="7" t="s">
        <v>132</v>
      </c>
      <c r="C140" s="35" t="n">
        <v>62458</v>
      </c>
      <c r="D140" s="33"/>
      <c r="E140" s="33"/>
      <c r="F140" s="33"/>
      <c r="G140" s="33"/>
      <c r="H140" s="33"/>
      <c r="I140" s="33"/>
      <c r="J140" s="33"/>
      <c r="K140" s="33"/>
      <c r="L140" s="33"/>
      <c r="M140" s="33"/>
      <c r="N140" s="33"/>
    </row>
    <row r="141" customFormat="false" ht="15" hidden="false" customHeight="false" outlineLevel="0" collapsed="false">
      <c r="B141" s="7" t="s">
        <v>133</v>
      </c>
      <c r="C141" s="34" t="n">
        <v>0</v>
      </c>
      <c r="D141" s="33"/>
      <c r="E141" s="33"/>
      <c r="F141" s="33"/>
      <c r="G141" s="33"/>
      <c r="H141" s="33"/>
      <c r="I141" s="33"/>
      <c r="J141" s="33"/>
      <c r="K141" s="33"/>
      <c r="L141" s="33"/>
      <c r="M141" s="33"/>
      <c r="N141" s="33"/>
    </row>
    <row r="142" customFormat="false" ht="15" hidden="false" customHeight="false" outlineLevel="0" collapsed="false">
      <c r="B142" s="7" t="s">
        <v>134</v>
      </c>
      <c r="C142" s="30" t="n">
        <v>0</v>
      </c>
      <c r="D142" s="33"/>
      <c r="E142" s="33"/>
      <c r="F142" s="33"/>
      <c r="G142" s="33"/>
      <c r="H142" s="33"/>
      <c r="I142" s="33"/>
      <c r="J142" s="33"/>
      <c r="K142" s="33"/>
      <c r="L142" s="33"/>
      <c r="M142" s="33"/>
      <c r="N142" s="33"/>
    </row>
    <row r="143" customFormat="false" ht="15" hidden="false" customHeight="false" outlineLevel="0" collapsed="false">
      <c r="B143" s="7" t="s">
        <v>135</v>
      </c>
      <c r="C143" s="29" t="n">
        <v>0</v>
      </c>
      <c r="D143" s="33"/>
      <c r="E143" s="33"/>
      <c r="F143" s="33"/>
      <c r="G143" s="33"/>
      <c r="H143" s="33"/>
      <c r="I143" s="33"/>
      <c r="J143" s="33"/>
      <c r="K143" s="33"/>
      <c r="L143" s="33"/>
      <c r="M143" s="33"/>
      <c r="N143" s="33"/>
    </row>
    <row r="145" customFormat="false" ht="15" hidden="false" customHeight="false" outlineLevel="0" collapsed="false">
      <c r="B145" s="6" t="s">
        <v>136</v>
      </c>
      <c r="D145" s="36" t="n">
        <v>2026</v>
      </c>
      <c r="E145" s="36" t="n">
        <v>2027</v>
      </c>
      <c r="F145" s="36" t="n">
        <v>2028</v>
      </c>
      <c r="G145" s="36" t="n">
        <v>2029</v>
      </c>
      <c r="H145" s="36" t="n">
        <v>2030</v>
      </c>
      <c r="I145" s="36" t="n">
        <v>2031</v>
      </c>
      <c r="J145" s="36" t="n">
        <v>2032</v>
      </c>
      <c r="K145" s="36" t="n">
        <v>2033</v>
      </c>
      <c r="L145" s="36" t="n">
        <v>2034</v>
      </c>
      <c r="M145" s="36" t="n">
        <v>2035</v>
      </c>
      <c r="N145" s="36" t="n">
        <v>2036</v>
      </c>
      <c r="O145" s="36" t="n">
        <v>2037</v>
      </c>
      <c r="P145" s="36" t="n">
        <v>2038</v>
      </c>
      <c r="Q145" s="36" t="n">
        <v>2039</v>
      </c>
      <c r="R145" s="36" t="n">
        <v>2040</v>
      </c>
      <c r="S145" s="36" t="n">
        <v>2041</v>
      </c>
      <c r="T145" s="36" t="n">
        <v>2042</v>
      </c>
      <c r="U145" s="36" t="n">
        <v>2043</v>
      </c>
      <c r="V145" s="36" t="n">
        <v>2044</v>
      </c>
      <c r="W145" s="36" t="n">
        <v>2045</v>
      </c>
      <c r="X145" s="36" t="n">
        <v>2046</v>
      </c>
      <c r="Y145" s="36" t="n">
        <v>2047</v>
      </c>
      <c r="Z145" s="36" t="n">
        <v>2048</v>
      </c>
      <c r="AA145" s="36" t="n">
        <v>2049</v>
      </c>
      <c r="AB145" s="36" t="n">
        <v>2050</v>
      </c>
      <c r="AC145" s="36" t="n">
        <v>2051</v>
      </c>
      <c r="AD145" s="36" t="n">
        <v>2052</v>
      </c>
      <c r="AE145" s="36" t="n">
        <v>2053</v>
      </c>
      <c r="AF145" s="36" t="n">
        <v>2054</v>
      </c>
      <c r="AG145" s="36" t="n">
        <v>2055</v>
      </c>
      <c r="AH145" s="36" t="n">
        <v>2056</v>
      </c>
      <c r="AI145" s="36" t="n">
        <v>2057</v>
      </c>
      <c r="AJ145" s="36" t="n">
        <v>2058</v>
      </c>
      <c r="AK145" s="36" t="n">
        <v>2059</v>
      </c>
      <c r="AL145" s="36" t="n">
        <v>2060</v>
      </c>
      <c r="AM145" s="36" t="n">
        <v>2061</v>
      </c>
      <c r="AN145" s="36" t="n">
        <v>2062</v>
      </c>
      <c r="AO145" s="36" t="n">
        <v>2063</v>
      </c>
      <c r="AP145" s="36" t="n">
        <v>2064</v>
      </c>
      <c r="AQ145" s="36" t="n">
        <v>2065</v>
      </c>
      <c r="AR145" s="36" t="n">
        <v>2066</v>
      </c>
      <c r="AS145" s="36" t="n">
        <v>2067</v>
      </c>
      <c r="AT145" s="36" t="n">
        <v>2068</v>
      </c>
      <c r="AU145" s="36" t="n">
        <v>2069</v>
      </c>
      <c r="AV145" s="36" t="n">
        <v>2070</v>
      </c>
    </row>
    <row r="146" customFormat="false" ht="15" hidden="false" customHeight="false" outlineLevel="0" collapsed="false">
      <c r="B146" s="7" t="s">
        <v>137</v>
      </c>
      <c r="D146" s="37" t="n">
        <f aca="false">IF($C$139=1,MAX(0,MIN(DATE(D$145,12,31),$C$140)-MAX(Inputs!$C$5+1,DATE(D$145,1,1))+1)/365,IF(D$145&lt;=$C$141,(DATE(D$145,12,31)-MAX(Inputs!$C$5+1,DATE(D$145,1,1))+1)/365,0))</f>
        <v>0.504109589041096</v>
      </c>
      <c r="E146" s="37" t="n">
        <f aca="false">IF($C$139=1,MAX(0,MIN(DATE(E$145,12,31),$C$140)-MAX(Inputs!$C$5+1,DATE(E$145,1,1))+1)/365,IF(E$145&lt;=$C$141,(DATE(E$145,12,31)-MAX(Inputs!$C$5+1,DATE(E$145,1,1))+1)/365,0))</f>
        <v>1</v>
      </c>
      <c r="F146" s="37" t="n">
        <f aca="false">IF($C$139=1,MAX(0,MIN(DATE(F$145,12,31),$C$140)-MAX(Inputs!$C$5+1,DATE(F$145,1,1))+1)/365,IF(F$145&lt;=$C$141,(DATE(F$145,12,31)-MAX(Inputs!$C$5+1,DATE(F$145,1,1))+1)/365,0))</f>
        <v>1.0027397260274</v>
      </c>
      <c r="G146" s="37" t="n">
        <f aca="false">IF($C$139=1,MAX(0,MIN(DATE(G$145,12,31),$C$140)-MAX(Inputs!$C$5+1,DATE(G$145,1,1))+1)/365,IF(G$145&lt;=$C$141,(DATE(G$145,12,31)-MAX(Inputs!$C$5+1,DATE(G$145,1,1))+1)/365,0))</f>
        <v>1</v>
      </c>
      <c r="H146" s="37" t="n">
        <f aca="false">IF($C$139=1,MAX(0,MIN(DATE(H$145,12,31),$C$140)-MAX(Inputs!$C$5+1,DATE(H$145,1,1))+1)/365,IF(H$145&lt;=$C$141,(DATE(H$145,12,31)-MAX(Inputs!$C$5+1,DATE(H$145,1,1))+1)/365,0))</f>
        <v>1</v>
      </c>
      <c r="I146" s="37" t="n">
        <f aca="false">IF($C$139=1,MAX(0,MIN(DATE(I$145,12,31),$C$140)-MAX(Inputs!$C$5+1,DATE(I$145,1,1))+1)/365,IF(I$145&lt;=$C$141,(DATE(I$145,12,31)-MAX(Inputs!$C$5+1,DATE(I$145,1,1))+1)/365,0))</f>
        <v>1</v>
      </c>
      <c r="J146" s="37" t="n">
        <f aca="false">IF($C$139=1,MAX(0,MIN(DATE(J$145,12,31),$C$140)-MAX(Inputs!$C$5+1,DATE(J$145,1,1))+1)/365,IF(J$145&lt;=$C$141,(DATE(J$145,12,31)-MAX(Inputs!$C$5+1,DATE(J$145,1,1))+1)/365,0))</f>
        <v>1.0027397260274</v>
      </c>
      <c r="K146" s="37" t="n">
        <f aca="false">IF($C$139=1,MAX(0,MIN(DATE(K$145,12,31),$C$140)-MAX(Inputs!$C$5+1,DATE(K$145,1,1))+1)/365,IF(K$145&lt;=$C$141,(DATE(K$145,12,31)-MAX(Inputs!$C$5+1,DATE(K$145,1,1))+1)/365,0))</f>
        <v>1</v>
      </c>
      <c r="L146" s="37" t="n">
        <f aca="false">IF($C$139=1,MAX(0,MIN(DATE(L$145,12,31),$C$140)-MAX(Inputs!$C$5+1,DATE(L$145,1,1))+1)/365,IF(L$145&lt;=$C$141,(DATE(L$145,12,31)-MAX(Inputs!$C$5+1,DATE(L$145,1,1))+1)/365,0))</f>
        <v>1</v>
      </c>
      <c r="M146" s="37" t="n">
        <f aca="false">IF($C$139=1,MAX(0,MIN(DATE(M$145,12,31),$C$140)-MAX(Inputs!$C$5+1,DATE(M$145,1,1))+1)/365,IF(M$145&lt;=$C$141,(DATE(M$145,12,31)-MAX(Inputs!$C$5+1,DATE(M$145,1,1))+1)/365,0))</f>
        <v>1</v>
      </c>
      <c r="N146" s="37" t="n">
        <f aca="false">IF($C$139=1,MAX(0,MIN(DATE(N$145,12,31),$C$140)-MAX(Inputs!$C$5+1,DATE(N$145,1,1))+1)/365,IF(N$145&lt;=$C$141,(DATE(N$145,12,31)-MAX(Inputs!$C$5+1,DATE(N$145,1,1))+1)/365,0))</f>
        <v>1.0027397260274</v>
      </c>
      <c r="O146" s="37" t="n">
        <f aca="false">IF($C$139=1,MAX(0,MIN(DATE(O$145,12,31),$C$140)-MAX(Inputs!$C$5+1,DATE(O$145,1,1))+1)/365,IF(O$145&lt;=$C$141,(DATE(O$145,12,31)-MAX(Inputs!$C$5+1,DATE(O$145,1,1))+1)/365,0))</f>
        <v>1</v>
      </c>
      <c r="P146" s="37" t="n">
        <f aca="false">IF($C$139=1,MAX(0,MIN(DATE(P$145,12,31),$C$140)-MAX(Inputs!$C$5+1,DATE(P$145,1,1))+1)/365,IF(P$145&lt;=$C$141,(DATE(P$145,12,31)-MAX(Inputs!$C$5+1,DATE(P$145,1,1))+1)/365,0))</f>
        <v>1</v>
      </c>
      <c r="Q146" s="37" t="n">
        <f aca="false">IF($C$139=1,MAX(0,MIN(DATE(Q$145,12,31),$C$140)-MAX(Inputs!$C$5+1,DATE(Q$145,1,1))+1)/365,IF(Q$145&lt;=$C$141,(DATE(Q$145,12,31)-MAX(Inputs!$C$5+1,DATE(Q$145,1,1))+1)/365,0))</f>
        <v>1</v>
      </c>
      <c r="R146" s="37" t="n">
        <f aca="false">IF($C$139=1,MAX(0,MIN(DATE(R$145,12,31),$C$140)-MAX(Inputs!$C$5+1,DATE(R$145,1,1))+1)/365,IF(R$145&lt;=$C$141,(DATE(R$145,12,31)-MAX(Inputs!$C$5+1,DATE(R$145,1,1))+1)/365,0))</f>
        <v>1.0027397260274</v>
      </c>
      <c r="S146" s="37" t="n">
        <f aca="false">IF($C$139=1,MAX(0,MIN(DATE(S$145,12,31),$C$140)-MAX(Inputs!$C$5+1,DATE(S$145,1,1))+1)/365,IF(S$145&lt;=$C$141,(DATE(S$145,12,31)-MAX(Inputs!$C$5+1,DATE(S$145,1,1))+1)/365,0))</f>
        <v>1</v>
      </c>
      <c r="T146" s="37" t="n">
        <f aca="false">IF($C$139=1,MAX(0,MIN(DATE(T$145,12,31),$C$140)-MAX(Inputs!$C$5+1,DATE(T$145,1,1))+1)/365,IF(T$145&lt;=$C$141,(DATE(T$145,12,31)-MAX(Inputs!$C$5+1,DATE(T$145,1,1))+1)/365,0))</f>
        <v>1</v>
      </c>
      <c r="U146" s="37" t="n">
        <f aca="false">IF($C$139=1,MAX(0,MIN(DATE(U$145,12,31),$C$140)-MAX(Inputs!$C$5+1,DATE(U$145,1,1))+1)/365,IF(U$145&lt;=$C$141,(DATE(U$145,12,31)-MAX(Inputs!$C$5+1,DATE(U$145,1,1))+1)/365,0))</f>
        <v>1</v>
      </c>
      <c r="V146" s="37" t="n">
        <f aca="false">IF($C$139=1,MAX(0,MIN(DATE(V$145,12,31),$C$140)-MAX(Inputs!$C$5+1,DATE(V$145,1,1))+1)/365,IF(V$145&lt;=$C$141,(DATE(V$145,12,31)-MAX(Inputs!$C$5+1,DATE(V$145,1,1))+1)/365,0))</f>
        <v>1.0027397260274</v>
      </c>
      <c r="W146" s="37" t="n">
        <f aca="false">IF($C$139=1,MAX(0,MIN(DATE(W$145,12,31),$C$140)-MAX(Inputs!$C$5+1,DATE(W$145,1,1))+1)/365,IF(W$145&lt;=$C$141,(DATE(W$145,12,31)-MAX(Inputs!$C$5+1,DATE(W$145,1,1))+1)/365,0))</f>
        <v>1</v>
      </c>
      <c r="X146" s="37" t="n">
        <f aca="false">IF($C$139=1,MAX(0,MIN(DATE(X$145,12,31),$C$140)-MAX(Inputs!$C$5+1,DATE(X$145,1,1))+1)/365,IF(X$145&lt;=$C$141,(DATE(X$145,12,31)-MAX(Inputs!$C$5+1,DATE(X$145,1,1))+1)/365,0))</f>
        <v>1</v>
      </c>
      <c r="Y146" s="37" t="n">
        <f aca="false">IF($C$139=1,MAX(0,MIN(DATE(Y$145,12,31),$C$140)-MAX(Inputs!$C$5+1,DATE(Y$145,1,1))+1)/365,IF(Y$145&lt;=$C$141,(DATE(Y$145,12,31)-MAX(Inputs!$C$5+1,DATE(Y$145,1,1))+1)/365,0))</f>
        <v>1</v>
      </c>
      <c r="Z146" s="37" t="n">
        <f aca="false">IF($C$139=1,MAX(0,MIN(DATE(Z$145,12,31),$C$140)-MAX(Inputs!$C$5+1,DATE(Z$145,1,1))+1)/365,IF(Z$145&lt;=$C$141,(DATE(Z$145,12,31)-MAX(Inputs!$C$5+1,DATE(Z$145,1,1))+1)/365,0))</f>
        <v>1.0027397260274</v>
      </c>
      <c r="AA146" s="37" t="n">
        <f aca="false">IF($C$139=1,MAX(0,MIN(DATE(AA$145,12,31),$C$140)-MAX(Inputs!$C$5+1,DATE(AA$145,1,1))+1)/365,IF(AA$145&lt;=$C$141,(DATE(AA$145,12,31)-MAX(Inputs!$C$5+1,DATE(AA$145,1,1))+1)/365,0))</f>
        <v>1</v>
      </c>
      <c r="AB146" s="37" t="n">
        <f aca="false">IF($C$139=1,MAX(0,MIN(DATE(AB$145,12,31),$C$140)-MAX(Inputs!$C$5+1,DATE(AB$145,1,1))+1)/365,IF(AB$145&lt;=$C$141,(DATE(AB$145,12,31)-MAX(Inputs!$C$5+1,DATE(AB$145,1,1))+1)/365,0))</f>
        <v>1</v>
      </c>
      <c r="AC146" s="37" t="n">
        <f aca="false">IF($C$139=1,MAX(0,MIN(DATE(AC$145,12,31),$C$140)-MAX(Inputs!$C$5+1,DATE(AC$145,1,1))+1)/365,IF(AC$145&lt;=$C$141,(DATE(AC$145,12,31)-MAX(Inputs!$C$5+1,DATE(AC$145,1,1))+1)/365,0))</f>
        <v>1</v>
      </c>
      <c r="AD146" s="37" t="n">
        <f aca="false">IF($C$139=1,MAX(0,MIN(DATE(AD$145,12,31),$C$140)-MAX(Inputs!$C$5+1,DATE(AD$145,1,1))+1)/365,IF(AD$145&lt;=$C$141,(DATE(AD$145,12,31)-MAX(Inputs!$C$5+1,DATE(AD$145,1,1))+1)/365,0))</f>
        <v>1.0027397260274</v>
      </c>
      <c r="AE146" s="37" t="n">
        <f aca="false">IF($C$139=1,MAX(0,MIN(DATE(AE$145,12,31),$C$140)-MAX(Inputs!$C$5+1,DATE(AE$145,1,1))+1)/365,IF(AE$145&lt;=$C$141,(DATE(AE$145,12,31)-MAX(Inputs!$C$5+1,DATE(AE$145,1,1))+1)/365,0))</f>
        <v>1</v>
      </c>
      <c r="AF146" s="37" t="n">
        <f aca="false">IF($C$139=1,MAX(0,MIN(DATE(AF$145,12,31),$C$140)-MAX(Inputs!$C$5+1,DATE(AF$145,1,1))+1)/365,IF(AF$145&lt;=$C$141,(DATE(AF$145,12,31)-MAX(Inputs!$C$5+1,DATE(AF$145,1,1))+1)/365,0))</f>
        <v>1</v>
      </c>
      <c r="AG146" s="37" t="n">
        <f aca="false">IF($C$139=1,MAX(0,MIN(DATE(AG$145,12,31),$C$140)-MAX(Inputs!$C$5+1,DATE(AG$145,1,1))+1)/365,IF(AG$145&lt;=$C$141,(DATE(AG$145,12,31)-MAX(Inputs!$C$5+1,DATE(AG$145,1,1))+1)/365,0))</f>
        <v>1</v>
      </c>
      <c r="AH146" s="37" t="n">
        <f aca="false">IF($C$139=1,MAX(0,MIN(DATE(AH$145,12,31),$C$140)-MAX(Inputs!$C$5+1,DATE(AH$145,1,1))+1)/365,IF(AH$145&lt;=$C$141,(DATE(AH$145,12,31)-MAX(Inputs!$C$5+1,DATE(AH$145,1,1))+1)/365,0))</f>
        <v>1.0027397260274</v>
      </c>
      <c r="AI146" s="37" t="n">
        <f aca="false">IF($C$139=1,MAX(0,MIN(DATE(AI$145,12,31),$C$140)-MAX(Inputs!$C$5+1,DATE(AI$145,1,1))+1)/365,IF(AI$145&lt;=$C$141,(DATE(AI$145,12,31)-MAX(Inputs!$C$5+1,DATE(AI$145,1,1))+1)/365,0))</f>
        <v>1</v>
      </c>
      <c r="AJ146" s="37" t="n">
        <f aca="false">IF($C$139=1,MAX(0,MIN(DATE(AJ$145,12,31),$C$140)-MAX(Inputs!$C$5+1,DATE(AJ$145,1,1))+1)/365,IF(AJ$145&lt;=$C$141,(DATE(AJ$145,12,31)-MAX(Inputs!$C$5+1,DATE(AJ$145,1,1))+1)/365,0))</f>
        <v>1</v>
      </c>
      <c r="AK146" s="37" t="n">
        <f aca="false">IF($C$139=1,MAX(0,MIN(DATE(AK$145,12,31),$C$140)-MAX(Inputs!$C$5+1,DATE(AK$145,1,1))+1)/365,IF(AK$145&lt;=$C$141,(DATE(AK$145,12,31)-MAX(Inputs!$C$5+1,DATE(AK$145,1,1))+1)/365,0))</f>
        <v>1</v>
      </c>
      <c r="AL146" s="37" t="n">
        <f aca="false">IF($C$139=1,MAX(0,MIN(DATE(AL$145,12,31),$C$140)-MAX(Inputs!$C$5+1,DATE(AL$145,1,1))+1)/365,IF(AL$145&lt;=$C$141,(DATE(AL$145,12,31)-MAX(Inputs!$C$5+1,DATE(AL$145,1,1))+1)/365,0))</f>
        <v>1.0027397260274</v>
      </c>
      <c r="AM146" s="37" t="n">
        <f aca="false">IF($C$139=1,MAX(0,MIN(DATE(AM$145,12,31),$C$140)-MAX(Inputs!$C$5+1,DATE(AM$145,1,1))+1)/365,IF(AM$145&lt;=$C$141,(DATE(AM$145,12,31)-MAX(Inputs!$C$5+1,DATE(AM$145,1,1))+1)/365,0))</f>
        <v>1</v>
      </c>
      <c r="AN146" s="37" t="n">
        <f aca="false">IF($C$139=1,MAX(0,MIN(DATE(AN$145,12,31),$C$140)-MAX(Inputs!$C$5+1,DATE(AN$145,1,1))+1)/365,IF(AN$145&lt;=$C$141,(DATE(AN$145,12,31)-MAX(Inputs!$C$5+1,DATE(AN$145,1,1))+1)/365,0))</f>
        <v>1</v>
      </c>
      <c r="AO146" s="37" t="n">
        <f aca="false">IF($C$139=1,MAX(0,MIN(DATE(AO$145,12,31),$C$140)-MAX(Inputs!$C$5+1,DATE(AO$145,1,1))+1)/365,IF(AO$145&lt;=$C$141,(DATE(AO$145,12,31)-MAX(Inputs!$C$5+1,DATE(AO$145,1,1))+1)/365,0))</f>
        <v>1</v>
      </c>
      <c r="AP146" s="37" t="n">
        <f aca="false">IF($C$139=1,MAX(0,MIN(DATE(AP$145,12,31),$C$140)-MAX(Inputs!$C$5+1,DATE(AP$145,1,1))+1)/365,IF(AP$145&lt;=$C$141,(DATE(AP$145,12,31)-MAX(Inputs!$C$5+1,DATE(AP$145,1,1))+1)/365,0))</f>
        <v>1.0027397260274</v>
      </c>
      <c r="AQ146" s="37" t="n">
        <f aca="false">IF($C$139=1,MAX(0,MIN(DATE(AQ$145,12,31),$C$140)-MAX(Inputs!$C$5+1,DATE(AQ$145,1,1))+1)/365,IF(AQ$145&lt;=$C$141,(DATE(AQ$145,12,31)-MAX(Inputs!$C$5+1,DATE(AQ$145,1,1))+1)/365,0))</f>
        <v>1</v>
      </c>
      <c r="AR146" s="37" t="n">
        <f aca="false">IF($C$139=1,MAX(0,MIN(DATE(AR$145,12,31),$C$140)-MAX(Inputs!$C$5+1,DATE(AR$145,1,1))+1)/365,IF(AR$145&lt;=$C$141,(DATE(AR$145,12,31)-MAX(Inputs!$C$5+1,DATE(AR$145,1,1))+1)/365,0))</f>
        <v>1</v>
      </c>
      <c r="AS146" s="37" t="n">
        <f aca="false">IF($C$139=1,MAX(0,MIN(DATE(AS$145,12,31),$C$140)-MAX(Inputs!$C$5+1,DATE(AS$145,1,1))+1)/365,IF(AS$145&lt;=$C$141,(DATE(AS$145,12,31)-MAX(Inputs!$C$5+1,DATE(AS$145,1,1))+1)/365,0))</f>
        <v>1</v>
      </c>
      <c r="AT146" s="37" t="n">
        <f aca="false">IF($C$139=1,MAX(0,MIN(DATE(AT$145,12,31),$C$140)-MAX(Inputs!$C$5+1,DATE(AT$145,1,1))+1)/365,IF(AT$145&lt;=$C$141,(DATE(AT$145,12,31)-MAX(Inputs!$C$5+1,DATE(AT$145,1,1))+1)/365,0))</f>
        <v>1.0027397260274</v>
      </c>
      <c r="AU146" s="37" t="n">
        <f aca="false">IF($C$139=1,MAX(0,MIN(DATE(AU$145,12,31),$C$140)-MAX(Inputs!$C$5+1,DATE(AU$145,1,1))+1)/365,IF(AU$145&lt;=$C$141,(DATE(AU$145,12,31)-MAX(Inputs!$C$5+1,DATE(AU$145,1,1))+1)/365,0))</f>
        <v>1</v>
      </c>
      <c r="AV146" s="37" t="n">
        <f aca="false">IF($C$139=1,MAX(0,MIN(DATE(AV$145,12,31),$C$140)-MAX(Inputs!$C$5+1,DATE(AV$145,1,1))+1)/365,IF(AV$145&lt;=$C$141,(DATE(AV$145,12,31)-MAX(Inputs!$C$5+1,DATE(AV$145,1,1))+1)/365,0))</f>
        <v>1</v>
      </c>
    </row>
    <row r="147" customFormat="false" ht="15" hidden="false" customHeight="false" outlineLevel="0" collapsed="false">
      <c r="B147" s="7" t="s">
        <v>138</v>
      </c>
      <c r="D147" s="16" t="n">
        <f aca="false">$C$131*(1+$C$132)</f>
        <v>157.887</v>
      </c>
      <c r="E147" s="16" t="n">
        <f aca="false">D147*(1+$C$133)</f>
        <v>161.202627</v>
      </c>
      <c r="F147" s="16" t="n">
        <f aca="false">E147*(1+$C$133)</f>
        <v>164.587882167</v>
      </c>
      <c r="G147" s="16" t="n">
        <f aca="false">F147*(1+$C$133)</f>
        <v>168.044227692507</v>
      </c>
      <c r="H147" s="16" t="n">
        <f aca="false">G147*(1+$C$133)</f>
        <v>171.57315647405</v>
      </c>
      <c r="I147" s="16" t="n">
        <f aca="false">H147*(1+$C$133)</f>
        <v>175.176192760005</v>
      </c>
      <c r="J147" s="16" t="n">
        <f aca="false">I147*(1+$C$133)</f>
        <v>178.854892807965</v>
      </c>
      <c r="K147" s="16" t="n">
        <f aca="false">J147*(1+$C$133)</f>
        <v>182.610845556932</v>
      </c>
      <c r="L147" s="16" t="n">
        <f aca="false">K147*(1+$C$133)</f>
        <v>186.445673313627</v>
      </c>
      <c r="M147" s="16" t="n">
        <f aca="false">L147*(1+$C$133)</f>
        <v>190.361032453214</v>
      </c>
      <c r="N147" s="16" t="n">
        <f aca="false">M147*(1+$C$133)</f>
        <v>194.358614134731</v>
      </c>
      <c r="O147" s="16" t="n">
        <f aca="false">N147*(1+$C$133)</f>
        <v>198.44014503156</v>
      </c>
      <c r="P147" s="16" t="n">
        <f aca="false">O147*(1+$C$133)</f>
        <v>202.607388077223</v>
      </c>
      <c r="Q147" s="16" t="n">
        <f aca="false">P147*(1+$C$133)</f>
        <v>206.862143226845</v>
      </c>
      <c r="R147" s="16" t="n">
        <f aca="false">Q147*(1+$C$133)</f>
        <v>211.206248234609</v>
      </c>
      <c r="S147" s="16" t="n">
        <f aca="false">R147*(1+$C$133)</f>
        <v>215.641579447535</v>
      </c>
      <c r="T147" s="16" t="n">
        <f aca="false">S147*(1+$C$133)</f>
        <v>220.170052615934</v>
      </c>
      <c r="U147" s="16" t="n">
        <f aca="false">T147*(1+$C$133)</f>
        <v>224.793623720868</v>
      </c>
      <c r="V147" s="16" t="n">
        <f aca="false">U147*(1+$C$133)</f>
        <v>229.514289819006</v>
      </c>
      <c r="W147" s="16" t="n">
        <f aca="false">V147*(1+$C$133)</f>
        <v>234.334089905206</v>
      </c>
      <c r="X147" s="16" t="n">
        <f aca="false">W147*(1+$C$133)</f>
        <v>239.255105793215</v>
      </c>
      <c r="Y147" s="16" t="n">
        <f aca="false">X147*(1+$C$133)</f>
        <v>244.279463014872</v>
      </c>
      <c r="Z147" s="16" t="n">
        <f aca="false">Y147*(1+$C$133)</f>
        <v>249.409331738185</v>
      </c>
      <c r="AA147" s="16" t="n">
        <f aca="false">Z147*(1+$C$133)</f>
        <v>254.646927704686</v>
      </c>
      <c r="AB147" s="16" t="n">
        <f aca="false">AA147*(1+$C$133)</f>
        <v>259.994513186485</v>
      </c>
      <c r="AC147" s="16" t="n">
        <f aca="false">AB147*(1+$C$133)</f>
        <v>265.454397963401</v>
      </c>
      <c r="AD147" s="16" t="n">
        <f aca="false">AC147*(1+$C$133)</f>
        <v>271.028940320632</v>
      </c>
      <c r="AE147" s="16" t="n">
        <f aca="false">AD147*(1+$C$133)</f>
        <v>276.720548067366</v>
      </c>
      <c r="AF147" s="16" t="n">
        <f aca="false">AE147*(1+$C$133)</f>
        <v>282.53167957678</v>
      </c>
      <c r="AG147" s="16" t="n">
        <f aca="false">AF147*(1+$C$133)</f>
        <v>288.464844847893</v>
      </c>
      <c r="AH147" s="16" t="n">
        <f aca="false">AG147*(1+$C$133)</f>
        <v>294.522606589698</v>
      </c>
      <c r="AI147" s="16" t="n">
        <f aca="false">AH147*(1+$C$133)</f>
        <v>300.707581328082</v>
      </c>
      <c r="AJ147" s="16" t="n">
        <f aca="false">AI147*(1+$C$133)</f>
        <v>307.022440535972</v>
      </c>
      <c r="AK147" s="16" t="n">
        <f aca="false">AJ147*(1+$C$133)</f>
        <v>313.469911787227</v>
      </c>
      <c r="AL147" s="16" t="n">
        <f aca="false">AK147*(1+$C$133)</f>
        <v>320.052779934759</v>
      </c>
      <c r="AM147" s="16" t="n">
        <f aca="false">AL147*(1+$C$133)</f>
        <v>326.773888313389</v>
      </c>
      <c r="AN147" s="16" t="n">
        <f aca="false">AM147*(1+$C$133)</f>
        <v>333.63613996797</v>
      </c>
      <c r="AO147" s="16" t="n">
        <f aca="false">AN147*(1+$C$133)</f>
        <v>340.642498907297</v>
      </c>
      <c r="AP147" s="16" t="n">
        <f aca="false">AO147*(1+$C$133)</f>
        <v>347.795991384351</v>
      </c>
      <c r="AQ147" s="16" t="n">
        <f aca="false">AP147*(1+$C$133)</f>
        <v>355.099707203422</v>
      </c>
      <c r="AR147" s="16" t="n">
        <f aca="false">AQ147*(1+$C$133)</f>
        <v>362.556801054694</v>
      </c>
      <c r="AS147" s="16" t="n">
        <f aca="false">AR147*(1+$C$133)</f>
        <v>370.170493876842</v>
      </c>
      <c r="AT147" s="16" t="n">
        <f aca="false">AS147*(1+$C$133)</f>
        <v>377.944074248256</v>
      </c>
      <c r="AU147" s="16" t="n">
        <f aca="false">AT147*(1+$C$133)</f>
        <v>385.880899807469</v>
      </c>
      <c r="AV147" s="16" t="n">
        <f aca="false">AU147*(1+$C$133)</f>
        <v>393.984398703426</v>
      </c>
    </row>
    <row r="148" customFormat="false" ht="15" hidden="false" customHeight="false" outlineLevel="0" collapsed="false">
      <c r="B148" s="7" t="s">
        <v>139</v>
      </c>
      <c r="D148" s="16" t="n">
        <f aca="false">D147*$C$134</f>
        <v>112.1787135</v>
      </c>
      <c r="E148" s="16" t="n">
        <f aca="false">E147*$C$134</f>
        <v>114.5344664835</v>
      </c>
      <c r="F148" s="16" t="n">
        <f aca="false">F147*$C$134</f>
        <v>116.939690279653</v>
      </c>
      <c r="G148" s="16" t="n">
        <f aca="false">G147*$C$134</f>
        <v>119.395423775526</v>
      </c>
      <c r="H148" s="16" t="n">
        <f aca="false">H147*$C$134</f>
        <v>121.902727674812</v>
      </c>
      <c r="I148" s="16" t="n">
        <f aca="false">I147*$C$134</f>
        <v>124.462684955983</v>
      </c>
      <c r="J148" s="16" t="n">
        <f aca="false">J147*$C$134</f>
        <v>127.076401340059</v>
      </c>
      <c r="K148" s="16" t="n">
        <f aca="false">K147*$C$134</f>
        <v>129.7450057682</v>
      </c>
      <c r="L148" s="16" t="n">
        <f aca="false">L147*$C$134</f>
        <v>132.469650889332</v>
      </c>
      <c r="M148" s="16" t="n">
        <f aca="false">M147*$C$134</f>
        <v>135.251513558008</v>
      </c>
      <c r="N148" s="16" t="n">
        <f aca="false">N147*$C$134</f>
        <v>138.091795342726</v>
      </c>
      <c r="O148" s="16" t="n">
        <f aca="false">O147*$C$134</f>
        <v>140.991723044924</v>
      </c>
      <c r="P148" s="16" t="n">
        <f aca="false">P147*$C$134</f>
        <v>143.952549228867</v>
      </c>
      <c r="Q148" s="16" t="n">
        <f aca="false">Q147*$C$134</f>
        <v>146.975552762673</v>
      </c>
      <c r="R148" s="16" t="n">
        <f aca="false">R147*$C$134</f>
        <v>150.062039370689</v>
      </c>
      <c r="S148" s="16" t="n">
        <f aca="false">S147*$C$134</f>
        <v>153.213342197474</v>
      </c>
      <c r="T148" s="16" t="n">
        <f aca="false">T147*$C$134</f>
        <v>156.430822383621</v>
      </c>
      <c r="U148" s="16" t="n">
        <f aca="false">U147*$C$134</f>
        <v>159.715869653677</v>
      </c>
      <c r="V148" s="16" t="n">
        <f aca="false">V147*$C$134</f>
        <v>163.069902916404</v>
      </c>
      <c r="W148" s="16" t="n">
        <f aca="false">W147*$C$134</f>
        <v>166.494370877649</v>
      </c>
      <c r="X148" s="16" t="n">
        <f aca="false">X147*$C$134</f>
        <v>169.990752666079</v>
      </c>
      <c r="Y148" s="16" t="n">
        <f aca="false">Y147*$C$134</f>
        <v>173.560558472067</v>
      </c>
      <c r="Z148" s="16" t="n">
        <f aca="false">Z147*$C$134</f>
        <v>177.20533019998</v>
      </c>
      <c r="AA148" s="16" t="n">
        <f aca="false">AA147*$C$134</f>
        <v>180.92664213418</v>
      </c>
      <c r="AB148" s="16" t="n">
        <f aca="false">AB147*$C$134</f>
        <v>184.726101618997</v>
      </c>
      <c r="AC148" s="16" t="n">
        <f aca="false">AC147*$C$134</f>
        <v>188.605349752996</v>
      </c>
      <c r="AD148" s="16" t="n">
        <f aca="false">AD147*$C$134</f>
        <v>192.566062097809</v>
      </c>
      <c r="AE148" s="16" t="n">
        <f aca="false">AE147*$C$134</f>
        <v>196.609949401863</v>
      </c>
      <c r="AF148" s="16" t="n">
        <f aca="false">AF147*$C$134</f>
        <v>200.738758339302</v>
      </c>
      <c r="AG148" s="16" t="n">
        <f aca="false">AG147*$C$134</f>
        <v>204.954272264428</v>
      </c>
      <c r="AH148" s="16" t="n">
        <f aca="false">AH147*$C$134</f>
        <v>209.258311981981</v>
      </c>
      <c r="AI148" s="16" t="n">
        <f aca="false">AI147*$C$134</f>
        <v>213.652736533602</v>
      </c>
      <c r="AJ148" s="16" t="n">
        <f aca="false">AJ147*$C$134</f>
        <v>218.139444000808</v>
      </c>
      <c r="AK148" s="16" t="n">
        <f aca="false">AK147*$C$134</f>
        <v>222.720372324825</v>
      </c>
      <c r="AL148" s="16" t="n">
        <f aca="false">AL147*$C$134</f>
        <v>227.397500143646</v>
      </c>
      <c r="AM148" s="16" t="n">
        <f aca="false">AM147*$C$134</f>
        <v>232.172847646663</v>
      </c>
      <c r="AN148" s="16" t="n">
        <f aca="false">AN147*$C$134</f>
        <v>237.048477447243</v>
      </c>
      <c r="AO148" s="16" t="n">
        <f aca="false">AO147*$C$134</f>
        <v>242.026495473635</v>
      </c>
      <c r="AP148" s="16" t="n">
        <f aca="false">AP147*$C$134</f>
        <v>247.109051878581</v>
      </c>
      <c r="AQ148" s="16" t="n">
        <f aca="false">AQ147*$C$134</f>
        <v>252.298341968031</v>
      </c>
      <c r="AR148" s="16" t="n">
        <f aca="false">AR147*$C$134</f>
        <v>257.59660714936</v>
      </c>
      <c r="AS148" s="16" t="n">
        <f aca="false">AS147*$C$134</f>
        <v>263.006135899496</v>
      </c>
      <c r="AT148" s="16" t="n">
        <f aca="false">AT147*$C$134</f>
        <v>268.529264753386</v>
      </c>
      <c r="AU148" s="16" t="n">
        <f aca="false">AU147*$C$134</f>
        <v>274.168379313207</v>
      </c>
      <c r="AV148" s="16" t="n">
        <f aca="false">AV147*$C$134</f>
        <v>279.925915278784</v>
      </c>
    </row>
    <row r="149" customFormat="false" ht="15" hidden="false" customHeight="false" outlineLevel="0" collapsed="false">
      <c r="B149" s="7" t="s">
        <v>140</v>
      </c>
      <c r="D149" s="16" t="n">
        <f aca="false">-D147*$C$135</f>
        <v>-35.2403784</v>
      </c>
      <c r="E149" s="16" t="n">
        <f aca="false">-E147*$C$135</f>
        <v>-35.9804263464</v>
      </c>
      <c r="F149" s="16" t="n">
        <f aca="false">-F147*$C$135</f>
        <v>-36.7360152996744</v>
      </c>
      <c r="G149" s="16" t="n">
        <f aca="false">-G147*$C$135</f>
        <v>-37.5074716209676</v>
      </c>
      <c r="H149" s="16" t="n">
        <f aca="false">-H147*$C$135</f>
        <v>-38.2951285250079</v>
      </c>
      <c r="I149" s="16" t="n">
        <f aca="false">-I147*$C$135</f>
        <v>-39.099326224033</v>
      </c>
      <c r="J149" s="16" t="n">
        <f aca="false">-J147*$C$135</f>
        <v>-39.9204120747377</v>
      </c>
      <c r="K149" s="16" t="n">
        <f aca="false">-K147*$C$135</f>
        <v>-40.7587407283072</v>
      </c>
      <c r="L149" s="16" t="n">
        <f aca="false">-L147*$C$135</f>
        <v>-41.6146742836017</v>
      </c>
      <c r="M149" s="16" t="n">
        <f aca="false">-M147*$C$135</f>
        <v>-42.4885824435573</v>
      </c>
      <c r="N149" s="16" t="n">
        <f aca="false">-N147*$C$135</f>
        <v>-43.380842674872</v>
      </c>
      <c r="O149" s="16" t="n">
        <f aca="false">-O147*$C$135</f>
        <v>-44.2918403710443</v>
      </c>
      <c r="P149" s="16" t="n">
        <f aca="false">-P147*$C$135</f>
        <v>-45.2219690188362</v>
      </c>
      <c r="Q149" s="16" t="n">
        <f aca="false">-Q147*$C$135</f>
        <v>-46.1716303682318</v>
      </c>
      <c r="R149" s="16" t="n">
        <f aca="false">-R147*$C$135</f>
        <v>-47.1412346059646</v>
      </c>
      <c r="S149" s="16" t="n">
        <f aca="false">-S147*$C$135</f>
        <v>-48.1312005326899</v>
      </c>
      <c r="T149" s="16" t="n">
        <f aca="false">-T147*$C$135</f>
        <v>-49.1419557438764</v>
      </c>
      <c r="U149" s="16" t="n">
        <f aca="false">-U147*$C$135</f>
        <v>-50.1739368144978</v>
      </c>
      <c r="V149" s="16" t="n">
        <f aca="false">-V147*$C$135</f>
        <v>-51.2275894876022</v>
      </c>
      <c r="W149" s="16" t="n">
        <f aca="false">-W147*$C$135</f>
        <v>-52.3033688668419</v>
      </c>
      <c r="X149" s="16" t="n">
        <f aca="false">-X147*$C$135</f>
        <v>-53.4017396130456</v>
      </c>
      <c r="Y149" s="16" t="n">
        <f aca="false">-Y147*$C$135</f>
        <v>-54.5231761449195</v>
      </c>
      <c r="Z149" s="16" t="n">
        <f aca="false">-Z147*$C$135</f>
        <v>-55.6681628439628</v>
      </c>
      <c r="AA149" s="16" t="n">
        <f aca="false">-AA147*$C$135</f>
        <v>-56.837194263686</v>
      </c>
      <c r="AB149" s="16" t="n">
        <f aca="false">-AB147*$C$135</f>
        <v>-58.0307753432234</v>
      </c>
      <c r="AC149" s="16" t="n">
        <f aca="false">-AC147*$C$135</f>
        <v>-59.2494216254311</v>
      </c>
      <c r="AD149" s="16" t="n">
        <f aca="false">-AD147*$C$135</f>
        <v>-60.4936594795652</v>
      </c>
      <c r="AE149" s="16" t="n">
        <f aca="false">-AE147*$C$135</f>
        <v>-61.764026328636</v>
      </c>
      <c r="AF149" s="16" t="n">
        <f aca="false">-AF147*$C$135</f>
        <v>-63.0610708815374</v>
      </c>
      <c r="AG149" s="16" t="n">
        <f aca="false">-AG147*$C$135</f>
        <v>-64.3853533700497</v>
      </c>
      <c r="AH149" s="16" t="n">
        <f aca="false">-AH147*$C$135</f>
        <v>-65.7374457908207</v>
      </c>
      <c r="AI149" s="16" t="n">
        <f aca="false">-AI147*$C$135</f>
        <v>-67.1179321524279</v>
      </c>
      <c r="AJ149" s="16" t="n">
        <f aca="false">-AJ147*$C$135</f>
        <v>-68.5274087276289</v>
      </c>
      <c r="AK149" s="16" t="n">
        <f aca="false">-AK147*$C$135</f>
        <v>-69.9664843109091</v>
      </c>
      <c r="AL149" s="16" t="n">
        <f aca="false">-AL147*$C$135</f>
        <v>-71.4357804814382</v>
      </c>
      <c r="AM149" s="16" t="n">
        <f aca="false">-AM147*$C$135</f>
        <v>-72.9359318715484</v>
      </c>
      <c r="AN149" s="16" t="n">
        <f aca="false">-AN147*$C$135</f>
        <v>-74.4675864408509</v>
      </c>
      <c r="AO149" s="16" t="n">
        <f aca="false">-AO147*$C$135</f>
        <v>-76.0314057561088</v>
      </c>
      <c r="AP149" s="16" t="n">
        <f aca="false">-AP147*$C$135</f>
        <v>-77.628065276987</v>
      </c>
      <c r="AQ149" s="16" t="n">
        <f aca="false">-AQ147*$C$135</f>
        <v>-79.2582546478038</v>
      </c>
      <c r="AR149" s="16" t="n">
        <f aca="false">-AR147*$C$135</f>
        <v>-80.9226779954076</v>
      </c>
      <c r="AS149" s="16" t="n">
        <f aca="false">-AS147*$C$135</f>
        <v>-82.6220542333112</v>
      </c>
      <c r="AT149" s="16" t="n">
        <f aca="false">-AT147*$C$135</f>
        <v>-84.3571173722107</v>
      </c>
      <c r="AU149" s="16" t="n">
        <f aca="false">-AU147*$C$135</f>
        <v>-86.1286168370271</v>
      </c>
      <c r="AV149" s="16" t="n">
        <f aca="false">-AV147*$C$135</f>
        <v>-87.9373177906047</v>
      </c>
    </row>
    <row r="150" customFormat="false" ht="15" hidden="false" customHeight="false" outlineLevel="0" collapsed="false">
      <c r="B150" s="7" t="s">
        <v>141</v>
      </c>
      <c r="D150" s="16" t="n">
        <f aca="false">D148+D149</f>
        <v>76.9383351</v>
      </c>
      <c r="E150" s="16" t="n">
        <f aca="false">E148+E149</f>
        <v>78.5540401371</v>
      </c>
      <c r="F150" s="16" t="n">
        <f aca="false">F148+F149</f>
        <v>80.2036749799791</v>
      </c>
      <c r="G150" s="16" t="n">
        <f aca="false">G148+G149</f>
        <v>81.8879521545587</v>
      </c>
      <c r="H150" s="16" t="n">
        <f aca="false">H148+H149</f>
        <v>83.6075991498044</v>
      </c>
      <c r="I150" s="16" t="n">
        <f aca="false">I148+I149</f>
        <v>85.3633587319502</v>
      </c>
      <c r="J150" s="16" t="n">
        <f aca="false">J148+J149</f>
        <v>87.1559892653212</v>
      </c>
      <c r="K150" s="16" t="n">
        <f aca="false">K148+K149</f>
        <v>88.9862650398929</v>
      </c>
      <c r="L150" s="16" t="n">
        <f aca="false">L148+L149</f>
        <v>90.8549766057307</v>
      </c>
      <c r="M150" s="16" t="n">
        <f aca="false">M148+M149</f>
        <v>92.762931114451</v>
      </c>
      <c r="N150" s="16" t="n">
        <f aca="false">N148+N149</f>
        <v>94.7109526678545</v>
      </c>
      <c r="O150" s="16" t="n">
        <f aca="false">O148+O149</f>
        <v>96.6998826738794</v>
      </c>
      <c r="P150" s="16" t="n">
        <f aca="false">P148+P149</f>
        <v>98.7305802100309</v>
      </c>
      <c r="Q150" s="16" t="n">
        <f aca="false">Q148+Q149</f>
        <v>100.803922394442</v>
      </c>
      <c r="R150" s="16" t="n">
        <f aca="false">R148+R149</f>
        <v>102.920804764725</v>
      </c>
      <c r="S150" s="16" t="n">
        <f aca="false">S148+S149</f>
        <v>105.082141664784</v>
      </c>
      <c r="T150" s="16" t="n">
        <f aca="false">T148+T149</f>
        <v>107.288866639744</v>
      </c>
      <c r="U150" s="16" t="n">
        <f aca="false">U148+U149</f>
        <v>109.541932839179</v>
      </c>
      <c r="V150" s="16" t="n">
        <f aca="false">V148+V149</f>
        <v>111.842313428802</v>
      </c>
      <c r="W150" s="16" t="n">
        <f aca="false">W148+W149</f>
        <v>114.191002010807</v>
      </c>
      <c r="X150" s="16" t="n">
        <f aca="false">X148+X149</f>
        <v>116.589013053034</v>
      </c>
      <c r="Y150" s="16" t="n">
        <f aca="false">Y148+Y149</f>
        <v>119.037382327147</v>
      </c>
      <c r="Z150" s="16" t="n">
        <f aca="false">Z148+Z149</f>
        <v>121.537167356017</v>
      </c>
      <c r="AA150" s="16" t="n">
        <f aca="false">AA148+AA149</f>
        <v>124.089447870494</v>
      </c>
      <c r="AB150" s="16" t="n">
        <f aca="false">AB148+AB149</f>
        <v>126.695326275774</v>
      </c>
      <c r="AC150" s="16" t="n">
        <f aca="false">AC148+AC149</f>
        <v>129.355928127565</v>
      </c>
      <c r="AD150" s="16" t="n">
        <f aca="false">AD148+AD149</f>
        <v>132.072402618244</v>
      </c>
      <c r="AE150" s="16" t="n">
        <f aca="false">AE148+AE149</f>
        <v>134.845923073227</v>
      </c>
      <c r="AF150" s="16" t="n">
        <f aca="false">AF148+AF149</f>
        <v>137.677687457765</v>
      </c>
      <c r="AG150" s="16" t="n">
        <f aca="false">AG148+AG149</f>
        <v>140.568918894378</v>
      </c>
      <c r="AH150" s="16" t="n">
        <f aca="false">AH148+AH149</f>
        <v>143.52086619116</v>
      </c>
      <c r="AI150" s="16" t="n">
        <f aca="false">AI148+AI149</f>
        <v>146.534804381174</v>
      </c>
      <c r="AJ150" s="16" t="n">
        <f aca="false">AJ148+AJ149</f>
        <v>149.612035273179</v>
      </c>
      <c r="AK150" s="16" t="n">
        <f aca="false">AK148+AK149</f>
        <v>152.753888013916</v>
      </c>
      <c r="AL150" s="16" t="n">
        <f aca="false">AL148+AL149</f>
        <v>155.961719662208</v>
      </c>
      <c r="AM150" s="16" t="n">
        <f aca="false">AM148+AM149</f>
        <v>159.236915775114</v>
      </c>
      <c r="AN150" s="16" t="n">
        <f aca="false">AN148+AN149</f>
        <v>162.580891006392</v>
      </c>
      <c r="AO150" s="16" t="n">
        <f aca="false">AO148+AO149</f>
        <v>165.995089717526</v>
      </c>
      <c r="AP150" s="16" t="n">
        <f aca="false">AP148+AP149</f>
        <v>169.480986601594</v>
      </c>
      <c r="AQ150" s="16" t="n">
        <f aca="false">AQ148+AQ149</f>
        <v>173.040087320227</v>
      </c>
      <c r="AR150" s="16" t="n">
        <f aca="false">AR148+AR149</f>
        <v>176.673929153952</v>
      </c>
      <c r="AS150" s="16" t="n">
        <f aca="false">AS148+AS149</f>
        <v>180.384081666185</v>
      </c>
      <c r="AT150" s="16" t="n">
        <f aca="false">AT148+AT149</f>
        <v>184.172147381175</v>
      </c>
      <c r="AU150" s="16" t="n">
        <f aca="false">AU148+AU149</f>
        <v>188.03976247618</v>
      </c>
      <c r="AV150" s="16" t="n">
        <f aca="false">AV148+AV149</f>
        <v>191.98859748818</v>
      </c>
    </row>
    <row r="151" customFormat="false" ht="15" hidden="false" customHeight="false" outlineLevel="0" collapsed="false">
      <c r="B151" s="7" t="s">
        <v>142</v>
      </c>
      <c r="D151" s="8" t="n">
        <f aca="false">IF(D$145=2026,Inputs!$C$10,Inputs!$C$11)</f>
        <v>0.348</v>
      </c>
      <c r="E151" s="8" t="n">
        <f aca="false">IF(E$145=2026,Inputs!$C$10,Inputs!$C$11)</f>
        <v>0.258</v>
      </c>
      <c r="F151" s="8" t="n">
        <f aca="false">IF(F$145=2026,Inputs!$C$10,Inputs!$C$11)</f>
        <v>0.258</v>
      </c>
      <c r="G151" s="8" t="n">
        <f aca="false">IF(G$145=2026,Inputs!$C$10,Inputs!$C$11)</f>
        <v>0.258</v>
      </c>
      <c r="H151" s="8" t="n">
        <f aca="false">IF(H$145=2026,Inputs!$C$10,Inputs!$C$11)</f>
        <v>0.258</v>
      </c>
      <c r="I151" s="8" t="n">
        <f aca="false">IF(I$145=2026,Inputs!$C$10,Inputs!$C$11)</f>
        <v>0.258</v>
      </c>
      <c r="J151" s="8" t="n">
        <f aca="false">IF(J$145=2026,Inputs!$C$10,Inputs!$C$11)</f>
        <v>0.258</v>
      </c>
      <c r="K151" s="8" t="n">
        <f aca="false">IF(K$145=2026,Inputs!$C$10,Inputs!$C$11)</f>
        <v>0.258</v>
      </c>
      <c r="L151" s="8" t="n">
        <f aca="false">IF(L$145=2026,Inputs!$C$10,Inputs!$C$11)</f>
        <v>0.258</v>
      </c>
      <c r="M151" s="8" t="n">
        <f aca="false">IF(M$145=2026,Inputs!$C$10,Inputs!$C$11)</f>
        <v>0.258</v>
      </c>
      <c r="N151" s="8" t="n">
        <f aca="false">IF(N$145=2026,Inputs!$C$10,Inputs!$C$11)</f>
        <v>0.258</v>
      </c>
      <c r="O151" s="8" t="n">
        <f aca="false">IF(O$145=2026,Inputs!$C$10,Inputs!$C$11)</f>
        <v>0.258</v>
      </c>
      <c r="P151" s="8" t="n">
        <f aca="false">IF(P$145=2026,Inputs!$C$10,Inputs!$C$11)</f>
        <v>0.258</v>
      </c>
      <c r="Q151" s="8" t="n">
        <f aca="false">IF(Q$145=2026,Inputs!$C$10,Inputs!$C$11)</f>
        <v>0.258</v>
      </c>
      <c r="R151" s="8" t="n">
        <f aca="false">IF(R$145=2026,Inputs!$C$10,Inputs!$C$11)</f>
        <v>0.258</v>
      </c>
      <c r="S151" s="8" t="n">
        <f aca="false">IF(S$145=2026,Inputs!$C$10,Inputs!$C$11)</f>
        <v>0.258</v>
      </c>
      <c r="T151" s="8" t="n">
        <f aca="false">IF(T$145=2026,Inputs!$C$10,Inputs!$C$11)</f>
        <v>0.258</v>
      </c>
      <c r="U151" s="8" t="n">
        <f aca="false">IF(U$145=2026,Inputs!$C$10,Inputs!$C$11)</f>
        <v>0.258</v>
      </c>
      <c r="V151" s="8" t="n">
        <f aca="false">IF(V$145=2026,Inputs!$C$10,Inputs!$C$11)</f>
        <v>0.258</v>
      </c>
      <c r="W151" s="8" t="n">
        <f aca="false">IF(W$145=2026,Inputs!$C$10,Inputs!$C$11)</f>
        <v>0.258</v>
      </c>
      <c r="X151" s="8" t="n">
        <f aca="false">IF(X$145=2026,Inputs!$C$10,Inputs!$C$11)</f>
        <v>0.258</v>
      </c>
      <c r="Y151" s="8" t="n">
        <f aca="false">IF(Y$145=2026,Inputs!$C$10,Inputs!$C$11)</f>
        <v>0.258</v>
      </c>
      <c r="Z151" s="8" t="n">
        <f aca="false">IF(Z$145=2026,Inputs!$C$10,Inputs!$C$11)</f>
        <v>0.258</v>
      </c>
      <c r="AA151" s="8" t="n">
        <f aca="false">IF(AA$145=2026,Inputs!$C$10,Inputs!$C$11)</f>
        <v>0.258</v>
      </c>
      <c r="AB151" s="8" t="n">
        <f aca="false">IF(AB$145=2026,Inputs!$C$10,Inputs!$C$11)</f>
        <v>0.258</v>
      </c>
      <c r="AC151" s="8" t="n">
        <f aca="false">IF(AC$145=2026,Inputs!$C$10,Inputs!$C$11)</f>
        <v>0.258</v>
      </c>
      <c r="AD151" s="8" t="n">
        <f aca="false">IF(AD$145=2026,Inputs!$C$10,Inputs!$C$11)</f>
        <v>0.258</v>
      </c>
      <c r="AE151" s="8" t="n">
        <f aca="false">IF(AE$145=2026,Inputs!$C$10,Inputs!$C$11)</f>
        <v>0.258</v>
      </c>
      <c r="AF151" s="8" t="n">
        <f aca="false">IF(AF$145=2026,Inputs!$C$10,Inputs!$C$11)</f>
        <v>0.258</v>
      </c>
      <c r="AG151" s="8" t="n">
        <f aca="false">IF(AG$145=2026,Inputs!$C$10,Inputs!$C$11)</f>
        <v>0.258</v>
      </c>
      <c r="AH151" s="8" t="n">
        <f aca="false">IF(AH$145=2026,Inputs!$C$10,Inputs!$C$11)</f>
        <v>0.258</v>
      </c>
      <c r="AI151" s="8" t="n">
        <f aca="false">IF(AI$145=2026,Inputs!$C$10,Inputs!$C$11)</f>
        <v>0.258</v>
      </c>
      <c r="AJ151" s="8" t="n">
        <f aca="false">IF(AJ$145=2026,Inputs!$C$10,Inputs!$C$11)</f>
        <v>0.258</v>
      </c>
      <c r="AK151" s="8" t="n">
        <f aca="false">IF(AK$145=2026,Inputs!$C$10,Inputs!$C$11)</f>
        <v>0.258</v>
      </c>
      <c r="AL151" s="8" t="n">
        <f aca="false">IF(AL$145=2026,Inputs!$C$10,Inputs!$C$11)</f>
        <v>0.258</v>
      </c>
      <c r="AM151" s="8" t="n">
        <f aca="false">IF(AM$145=2026,Inputs!$C$10,Inputs!$C$11)</f>
        <v>0.258</v>
      </c>
      <c r="AN151" s="8" t="n">
        <f aca="false">IF(AN$145=2026,Inputs!$C$10,Inputs!$C$11)</f>
        <v>0.258</v>
      </c>
      <c r="AO151" s="8" t="n">
        <f aca="false">IF(AO$145=2026,Inputs!$C$10,Inputs!$C$11)</f>
        <v>0.258</v>
      </c>
      <c r="AP151" s="8" t="n">
        <f aca="false">IF(AP$145=2026,Inputs!$C$10,Inputs!$C$11)</f>
        <v>0.258</v>
      </c>
      <c r="AQ151" s="8" t="n">
        <f aca="false">IF(AQ$145=2026,Inputs!$C$10,Inputs!$C$11)</f>
        <v>0.258</v>
      </c>
      <c r="AR151" s="8" t="n">
        <f aca="false">IF(AR$145=2026,Inputs!$C$10,Inputs!$C$11)</f>
        <v>0.258</v>
      </c>
      <c r="AS151" s="8" t="n">
        <f aca="false">IF(AS$145=2026,Inputs!$C$10,Inputs!$C$11)</f>
        <v>0.258</v>
      </c>
      <c r="AT151" s="8" t="n">
        <f aca="false">IF(AT$145=2026,Inputs!$C$10,Inputs!$C$11)</f>
        <v>0.258</v>
      </c>
      <c r="AU151" s="8" t="n">
        <f aca="false">IF(AU$145=2026,Inputs!$C$10,Inputs!$C$11)</f>
        <v>0.258</v>
      </c>
      <c r="AV151" s="8" t="n">
        <f aca="false">IF(AV$145=2026,Inputs!$C$10,Inputs!$C$11)</f>
        <v>0.258</v>
      </c>
    </row>
    <row r="152" customFormat="false" ht="15" hidden="false" customHeight="false" outlineLevel="0" collapsed="false">
      <c r="B152" s="7" t="s">
        <v>143</v>
      </c>
      <c r="D152" s="16" t="n">
        <f aca="false">-MAX(0,D150)*D151</f>
        <v>-26.7745406148</v>
      </c>
      <c r="E152" s="16" t="n">
        <f aca="false">-MAX(0,E150)*E151</f>
        <v>-20.2669423553718</v>
      </c>
      <c r="F152" s="16" t="n">
        <f aca="false">-MAX(0,F150)*F151</f>
        <v>-20.6925481448346</v>
      </c>
      <c r="G152" s="16" t="n">
        <f aca="false">-MAX(0,G150)*G151</f>
        <v>-21.1270916558761</v>
      </c>
      <c r="H152" s="16" t="n">
        <f aca="false">-MAX(0,H150)*H151</f>
        <v>-21.5707605806495</v>
      </c>
      <c r="I152" s="16" t="n">
        <f aca="false">-MAX(0,I150)*I151</f>
        <v>-22.0237465528432</v>
      </c>
      <c r="J152" s="16" t="n">
        <f aca="false">-MAX(0,J150)*J151</f>
        <v>-22.4862452304529</v>
      </c>
      <c r="K152" s="16" t="n">
        <f aca="false">-MAX(0,K150)*K151</f>
        <v>-22.9584563802924</v>
      </c>
      <c r="L152" s="16" t="n">
        <f aca="false">-MAX(0,L150)*L151</f>
        <v>-23.4405839642785</v>
      </c>
      <c r="M152" s="16" t="n">
        <f aca="false">-MAX(0,M150)*M151</f>
        <v>-23.9328362275284</v>
      </c>
      <c r="N152" s="16" t="n">
        <f aca="false">-MAX(0,N150)*N151</f>
        <v>-24.4354257883065</v>
      </c>
      <c r="O152" s="16" t="n">
        <f aca="false">-MAX(0,O150)*O151</f>
        <v>-24.9485697298609</v>
      </c>
      <c r="P152" s="16" t="n">
        <f aca="false">-MAX(0,P150)*P151</f>
        <v>-25.472489694188</v>
      </c>
      <c r="Q152" s="16" t="n">
        <f aca="false">-MAX(0,Q150)*Q151</f>
        <v>-26.0074119777659</v>
      </c>
      <c r="R152" s="16" t="n">
        <f aca="false">-MAX(0,R150)*R151</f>
        <v>-26.553567629299</v>
      </c>
      <c r="S152" s="16" t="n">
        <f aca="false">-MAX(0,S150)*S151</f>
        <v>-27.1111925495143</v>
      </c>
      <c r="T152" s="16" t="n">
        <f aca="false">-MAX(0,T150)*T151</f>
        <v>-27.6805275930541</v>
      </c>
      <c r="U152" s="16" t="n">
        <f aca="false">-MAX(0,U150)*U151</f>
        <v>-28.2618186725082</v>
      </c>
      <c r="V152" s="16" t="n">
        <f aca="false">-MAX(0,V150)*V151</f>
        <v>-28.8553168646309</v>
      </c>
      <c r="W152" s="16" t="n">
        <f aca="false">-MAX(0,W150)*W151</f>
        <v>-29.4612785187881</v>
      </c>
      <c r="X152" s="16" t="n">
        <f aca="false">-MAX(0,X150)*X151</f>
        <v>-30.0799653676827</v>
      </c>
      <c r="Y152" s="16" t="n">
        <f aca="false">-MAX(0,Y150)*Y151</f>
        <v>-30.711644640404</v>
      </c>
      <c r="Z152" s="16" t="n">
        <f aca="false">-MAX(0,Z150)*Z151</f>
        <v>-31.3565891778525</v>
      </c>
      <c r="AA152" s="16" t="n">
        <f aca="false">-MAX(0,AA150)*AA151</f>
        <v>-32.0150775505874</v>
      </c>
      <c r="AB152" s="16" t="n">
        <f aca="false">-MAX(0,AB150)*AB151</f>
        <v>-32.6873941791497</v>
      </c>
      <c r="AC152" s="16" t="n">
        <f aca="false">-MAX(0,AC150)*AC151</f>
        <v>-33.3738294569119</v>
      </c>
      <c r="AD152" s="16" t="n">
        <f aca="false">-MAX(0,AD150)*AD151</f>
        <v>-34.074679875507</v>
      </c>
      <c r="AE152" s="16" t="n">
        <f aca="false">-MAX(0,AE150)*AE151</f>
        <v>-34.7902481528926</v>
      </c>
      <c r="AF152" s="16" t="n">
        <f aca="false">-MAX(0,AF150)*AF151</f>
        <v>-35.5208433641034</v>
      </c>
      <c r="AG152" s="16" t="n">
        <f aca="false">-MAX(0,AG150)*AG151</f>
        <v>-36.2667810747496</v>
      </c>
      <c r="AH152" s="16" t="n">
        <f aca="false">-MAX(0,AH150)*AH151</f>
        <v>-37.0283834773193</v>
      </c>
      <c r="AI152" s="16" t="n">
        <f aca="false">-MAX(0,AI150)*AI151</f>
        <v>-37.805979530343</v>
      </c>
      <c r="AJ152" s="16" t="n">
        <f aca="false">-MAX(0,AJ150)*AJ151</f>
        <v>-38.5999051004802</v>
      </c>
      <c r="AK152" s="16" t="n">
        <f aca="false">-MAX(0,AK150)*AK151</f>
        <v>-39.4105031075903</v>
      </c>
      <c r="AL152" s="16" t="n">
        <f aca="false">-MAX(0,AL150)*AL151</f>
        <v>-40.2381236728497</v>
      </c>
      <c r="AM152" s="16" t="n">
        <f aca="false">-MAX(0,AM150)*AM151</f>
        <v>-41.0831242699795</v>
      </c>
      <c r="AN152" s="16" t="n">
        <f aca="false">-MAX(0,AN150)*AN151</f>
        <v>-41.9458698796491</v>
      </c>
      <c r="AO152" s="16" t="n">
        <f aca="false">-MAX(0,AO150)*AO151</f>
        <v>-42.8267331471217</v>
      </c>
      <c r="AP152" s="16" t="n">
        <f aca="false">-MAX(0,AP150)*AP151</f>
        <v>-43.7260945432113</v>
      </c>
      <c r="AQ152" s="16" t="n">
        <f aca="false">-MAX(0,AQ150)*AQ151</f>
        <v>-44.6443425286187</v>
      </c>
      <c r="AR152" s="16" t="n">
        <f aca="false">-MAX(0,AR150)*AR151</f>
        <v>-45.5818737217197</v>
      </c>
      <c r="AS152" s="16" t="n">
        <f aca="false">-MAX(0,AS150)*AS151</f>
        <v>-46.5390930698758</v>
      </c>
      <c r="AT152" s="16" t="n">
        <f aca="false">-MAX(0,AT150)*AT151</f>
        <v>-47.5164140243432</v>
      </c>
      <c r="AU152" s="16" t="n">
        <f aca="false">-MAX(0,AU150)*AU151</f>
        <v>-48.5142587188544</v>
      </c>
      <c r="AV152" s="16" t="n">
        <f aca="false">-MAX(0,AV150)*AV151</f>
        <v>-49.5330581519503</v>
      </c>
    </row>
    <row r="153" customFormat="false" ht="15" hidden="false" customHeight="false" outlineLevel="0" collapsed="false">
      <c r="B153" s="7" t="s">
        <v>144</v>
      </c>
      <c r="D153" s="16" t="n">
        <f aca="false">-D147*$C$136</f>
        <v>-13.7835351</v>
      </c>
      <c r="E153" s="16" t="n">
        <f aca="false">-E147*$C$136</f>
        <v>-14.0729893371</v>
      </c>
      <c r="F153" s="16" t="n">
        <f aca="false">-F147*$C$136</f>
        <v>-14.3685221131791</v>
      </c>
      <c r="G153" s="16" t="n">
        <f aca="false">-G147*$C$136</f>
        <v>-14.6702610775559</v>
      </c>
      <c r="H153" s="16" t="n">
        <f aca="false">-H147*$C$136</f>
        <v>-14.9783365601845</v>
      </c>
      <c r="I153" s="16" t="n">
        <f aca="false">-I147*$C$136</f>
        <v>-15.2928816279484</v>
      </c>
      <c r="J153" s="16" t="n">
        <f aca="false">-J147*$C$136</f>
        <v>-15.6140321421353</v>
      </c>
      <c r="K153" s="16" t="n">
        <f aca="false">-K147*$C$136</f>
        <v>-15.9419268171202</v>
      </c>
      <c r="L153" s="16" t="n">
        <f aca="false">-L147*$C$136</f>
        <v>-16.2767072802797</v>
      </c>
      <c r="M153" s="16" t="n">
        <f aca="false">-M147*$C$136</f>
        <v>-16.6185181331656</v>
      </c>
      <c r="N153" s="16" t="n">
        <f aca="false">-N147*$C$136</f>
        <v>-16.967507013962</v>
      </c>
      <c r="O153" s="16" t="n">
        <f aca="false">-O147*$C$136</f>
        <v>-17.3238246612552</v>
      </c>
      <c r="P153" s="16" t="n">
        <f aca="false">-P147*$C$136</f>
        <v>-17.6876249791416</v>
      </c>
      <c r="Q153" s="16" t="n">
        <f aca="false">-Q147*$C$136</f>
        <v>-18.0590651037036</v>
      </c>
      <c r="R153" s="16" t="n">
        <f aca="false">-R147*$C$136</f>
        <v>-18.4383054708813</v>
      </c>
      <c r="S153" s="16" t="n">
        <f aca="false">-S147*$C$136</f>
        <v>-18.8255098857698</v>
      </c>
      <c r="T153" s="16" t="n">
        <f aca="false">-T147*$C$136</f>
        <v>-19.220845593371</v>
      </c>
      <c r="U153" s="16" t="n">
        <f aca="false">-U147*$C$136</f>
        <v>-19.6244833508318</v>
      </c>
      <c r="V153" s="16" t="n">
        <f aca="false">-V147*$C$136</f>
        <v>-20.0365975011993</v>
      </c>
      <c r="W153" s="16" t="n">
        <f aca="false">-W147*$C$136</f>
        <v>-20.4573660487244</v>
      </c>
      <c r="X153" s="16" t="n">
        <f aca="false">-X147*$C$136</f>
        <v>-20.8869707357477</v>
      </c>
      <c r="Y153" s="16" t="n">
        <f aca="false">-Y147*$C$136</f>
        <v>-21.3255971211984</v>
      </c>
      <c r="Z153" s="16" t="n">
        <f aca="false">-Z147*$C$136</f>
        <v>-21.7734346607435</v>
      </c>
      <c r="AA153" s="16" t="n">
        <f aca="false">-AA147*$C$136</f>
        <v>-22.2306767886191</v>
      </c>
      <c r="AB153" s="16" t="n">
        <f aca="false">-AB147*$C$136</f>
        <v>-22.6975210011801</v>
      </c>
      <c r="AC153" s="16" t="n">
        <f aca="false">-AC147*$C$136</f>
        <v>-23.1741689422049</v>
      </c>
      <c r="AD153" s="16" t="n">
        <f aca="false">-AD147*$C$136</f>
        <v>-23.6608264899912</v>
      </c>
      <c r="AE153" s="16" t="n">
        <f aca="false">-AE147*$C$136</f>
        <v>-24.157703846281</v>
      </c>
      <c r="AF153" s="16" t="n">
        <f aca="false">-AF147*$C$136</f>
        <v>-24.6650156270529</v>
      </c>
      <c r="AG153" s="16" t="n">
        <f aca="false">-AG147*$C$136</f>
        <v>-25.182980955221</v>
      </c>
      <c r="AH153" s="16" t="n">
        <f aca="false">-AH147*$C$136</f>
        <v>-25.7118235552807</v>
      </c>
      <c r="AI153" s="16" t="n">
        <f aca="false">-AI147*$C$136</f>
        <v>-26.2517718499416</v>
      </c>
      <c r="AJ153" s="16" t="n">
        <f aca="false">-AJ147*$C$136</f>
        <v>-26.8030590587903</v>
      </c>
      <c r="AK153" s="16" t="n">
        <f aca="false">-AK147*$C$136</f>
        <v>-27.3659232990249</v>
      </c>
      <c r="AL153" s="16" t="n">
        <f aca="false">-AL147*$C$136</f>
        <v>-27.9406076883045</v>
      </c>
      <c r="AM153" s="16" t="n">
        <f aca="false">-AM147*$C$136</f>
        <v>-28.5273604497589</v>
      </c>
      <c r="AN153" s="16" t="n">
        <f aca="false">-AN147*$C$136</f>
        <v>-29.1264350192038</v>
      </c>
      <c r="AO153" s="16" t="n">
        <f aca="false">-AO147*$C$136</f>
        <v>-29.7380901546071</v>
      </c>
      <c r="AP153" s="16" t="n">
        <f aca="false">-AP147*$C$136</f>
        <v>-30.3625900478538</v>
      </c>
      <c r="AQ153" s="16" t="n">
        <f aca="false">-AQ147*$C$136</f>
        <v>-31.0002044388587</v>
      </c>
      <c r="AR153" s="16" t="n">
        <f aca="false">-AR147*$C$136</f>
        <v>-31.6512087320748</v>
      </c>
      <c r="AS153" s="16" t="n">
        <f aca="false">-AS147*$C$136</f>
        <v>-32.3158841154483</v>
      </c>
      <c r="AT153" s="16" t="n">
        <f aca="false">-AT147*$C$136</f>
        <v>-32.9945176818727</v>
      </c>
      <c r="AU153" s="16" t="n">
        <f aca="false">-AU147*$C$136</f>
        <v>-33.6874025531921</v>
      </c>
      <c r="AV153" s="16" t="n">
        <f aca="false">-AV147*$C$136</f>
        <v>-34.3948380068091</v>
      </c>
    </row>
    <row r="154" customFormat="false" ht="15" hidden="false" customHeight="false" outlineLevel="0" collapsed="false">
      <c r="B154" s="7" t="s">
        <v>145</v>
      </c>
      <c r="D154" s="16" t="n">
        <f aca="false">-D147*$C$137</f>
        <v>-0.2841966</v>
      </c>
      <c r="E154" s="16" t="n">
        <f aca="false">-E147*$C$137</f>
        <v>-0.2901647286</v>
      </c>
      <c r="F154" s="16" t="n">
        <f aca="false">-F147*$C$137</f>
        <v>-0.2962581879006</v>
      </c>
      <c r="G154" s="16" t="n">
        <f aca="false">-G147*$C$137</f>
        <v>-0.302479609846513</v>
      </c>
      <c r="H154" s="16" t="n">
        <f aca="false">-H147*$C$137</f>
        <v>-0.308831681653289</v>
      </c>
      <c r="I154" s="16" t="n">
        <f aca="false">-I147*$C$137</f>
        <v>-0.315317146968008</v>
      </c>
      <c r="J154" s="16" t="n">
        <f aca="false">-J147*$C$137</f>
        <v>-0.321938807054336</v>
      </c>
      <c r="K154" s="16" t="n">
        <f aca="false">-K147*$C$137</f>
        <v>-0.328699522002478</v>
      </c>
      <c r="L154" s="16" t="n">
        <f aca="false">-L147*$C$137</f>
        <v>-0.335602211964529</v>
      </c>
      <c r="M154" s="16" t="n">
        <f aca="false">-M147*$C$137</f>
        <v>-0.342649858415785</v>
      </c>
      <c r="N154" s="16" t="n">
        <f aca="false">-N147*$C$137</f>
        <v>-0.349845505442516</v>
      </c>
      <c r="O154" s="16" t="n">
        <f aca="false">-O147*$C$137</f>
        <v>-0.357192261056809</v>
      </c>
      <c r="P154" s="16" t="n">
        <f aca="false">-P147*$C$137</f>
        <v>-0.364693298539002</v>
      </c>
      <c r="Q154" s="16" t="n">
        <f aca="false">-Q147*$C$137</f>
        <v>-0.372351857808321</v>
      </c>
      <c r="R154" s="16" t="n">
        <f aca="false">-R147*$C$137</f>
        <v>-0.380171246822295</v>
      </c>
      <c r="S154" s="16" t="n">
        <f aca="false">-S147*$C$137</f>
        <v>-0.388154843005564</v>
      </c>
      <c r="T154" s="16" t="n">
        <f aca="false">-T147*$C$137</f>
        <v>-0.39630609470868</v>
      </c>
      <c r="U154" s="16" t="n">
        <f aca="false">-U147*$C$137</f>
        <v>-0.404628522697563</v>
      </c>
      <c r="V154" s="16" t="n">
        <f aca="false">-V147*$C$137</f>
        <v>-0.413125721674212</v>
      </c>
      <c r="W154" s="16" t="n">
        <f aca="false">-W147*$C$137</f>
        <v>-0.42180136182937</v>
      </c>
      <c r="X154" s="16" t="n">
        <f aca="false">-X147*$C$137</f>
        <v>-0.430659190427787</v>
      </c>
      <c r="Y154" s="16" t="n">
        <f aca="false">-Y147*$C$137</f>
        <v>-0.43970303342677</v>
      </c>
      <c r="Z154" s="16" t="n">
        <f aca="false">-Z147*$C$137</f>
        <v>-0.448936797128732</v>
      </c>
      <c r="AA154" s="16" t="n">
        <f aca="false">-AA147*$C$137</f>
        <v>-0.458364469868436</v>
      </c>
      <c r="AB154" s="16" t="n">
        <f aca="false">-AB147*$C$137</f>
        <v>-0.467990123735673</v>
      </c>
      <c r="AC154" s="16" t="n">
        <f aca="false">-AC147*$C$137</f>
        <v>-0.477817916334122</v>
      </c>
      <c r="AD154" s="16" t="n">
        <f aca="false">-AD147*$C$137</f>
        <v>-0.487852092577138</v>
      </c>
      <c r="AE154" s="16" t="n">
        <f aca="false">-AE147*$C$137</f>
        <v>-0.498096986521258</v>
      </c>
      <c r="AF154" s="16" t="n">
        <f aca="false">-AF147*$C$137</f>
        <v>-0.508557023238205</v>
      </c>
      <c r="AG154" s="16" t="n">
        <f aca="false">-AG147*$C$137</f>
        <v>-0.519236720726207</v>
      </c>
      <c r="AH154" s="16" t="n">
        <f aca="false">-AH147*$C$137</f>
        <v>-0.530140691861457</v>
      </c>
      <c r="AI154" s="16" t="n">
        <f aca="false">-AI147*$C$137</f>
        <v>-0.541273646390548</v>
      </c>
      <c r="AJ154" s="16" t="n">
        <f aca="false">-AJ147*$C$137</f>
        <v>-0.552640392964749</v>
      </c>
      <c r="AK154" s="16" t="n">
        <f aca="false">-AK147*$C$137</f>
        <v>-0.564245841217009</v>
      </c>
      <c r="AL154" s="16" t="n">
        <f aca="false">-AL147*$C$137</f>
        <v>-0.576095003882566</v>
      </c>
      <c r="AM154" s="16" t="n">
        <f aca="false">-AM147*$C$137</f>
        <v>-0.5881929989641</v>
      </c>
      <c r="AN154" s="16" t="n">
        <f aca="false">-AN147*$C$137</f>
        <v>-0.600545051942346</v>
      </c>
      <c r="AO154" s="16" t="n">
        <f aca="false">-AO147*$C$137</f>
        <v>-0.613156498033135</v>
      </c>
      <c r="AP154" s="16" t="n">
        <f aca="false">-AP147*$C$137</f>
        <v>-0.626032784491831</v>
      </c>
      <c r="AQ154" s="16" t="n">
        <f aca="false">-AQ147*$C$137</f>
        <v>-0.639179472966159</v>
      </c>
      <c r="AR154" s="16" t="n">
        <f aca="false">-AR147*$C$137</f>
        <v>-0.652602241898449</v>
      </c>
      <c r="AS154" s="16" t="n">
        <f aca="false">-AS147*$C$137</f>
        <v>-0.666306888978316</v>
      </c>
      <c r="AT154" s="16" t="n">
        <f aca="false">-AT147*$C$137</f>
        <v>-0.680299333646861</v>
      </c>
      <c r="AU154" s="16" t="n">
        <f aca="false">-AU147*$C$137</f>
        <v>-0.694585619653445</v>
      </c>
      <c r="AV154" s="16" t="n">
        <f aca="false">-AV147*$C$137</f>
        <v>-0.709171917666167</v>
      </c>
    </row>
    <row r="155" customFormat="false" ht="15" hidden="false" customHeight="false" outlineLevel="0" collapsed="false">
      <c r="B155" s="12" t="s">
        <v>146</v>
      </c>
      <c r="D155" s="38" t="n">
        <f aca="false">(D148+D152+D153+D154)*D146</f>
        <v>35.9613840495255</v>
      </c>
      <c r="E155" s="38" t="n">
        <f aca="false">(E148+E152+E153+E154)*E146</f>
        <v>79.9043700624282</v>
      </c>
      <c r="F155" s="38" t="n">
        <f aca="false">(F148+F152+F153+F154)*F146</f>
        <v>81.8058751538316</v>
      </c>
      <c r="G155" s="38" t="n">
        <f aca="false">(G148+G152+G153+G154)*G146</f>
        <v>83.2955914322477</v>
      </c>
      <c r="H155" s="38" t="n">
        <f aca="false">(H148+H152+H153+H154)*H146</f>
        <v>85.0447988523249</v>
      </c>
      <c r="I155" s="38" t="n">
        <f aca="false">(I148+I152+I153+I154)*I146</f>
        <v>86.8307396282237</v>
      </c>
      <c r="J155" s="38" t="n">
        <f aca="false">(J148+J152+J153+J154)*J146</f>
        <v>88.8970733389381</v>
      </c>
      <c r="K155" s="38" t="n">
        <f aca="false">(K148+K152+K153+K154)*K146</f>
        <v>90.5159230487851</v>
      </c>
      <c r="L155" s="38" t="n">
        <f aca="false">(L148+L152+L153+L154)*L146</f>
        <v>92.4167574328096</v>
      </c>
      <c r="M155" s="38" t="n">
        <f aca="false">(M148+M152+M153+M154)*M146</f>
        <v>94.3575093388986</v>
      </c>
      <c r="N155" s="38" t="n">
        <f aca="false">(N148+N152+N153+N154)*N146</f>
        <v>96.6029595474402</v>
      </c>
      <c r="O155" s="38" t="n">
        <f aca="false">(O148+O152+O153+O154)*O146</f>
        <v>98.3621363927508</v>
      </c>
      <c r="P155" s="38" t="n">
        <f aca="false">(P148+P152+P153+P154)*P146</f>
        <v>100.427741256999</v>
      </c>
      <c r="Q155" s="38" t="n">
        <f aca="false">(Q148+Q152+Q153+Q154)*Q146</f>
        <v>102.536723823395</v>
      </c>
      <c r="R155" s="38" t="n">
        <f aca="false">(R148+R152+R153+R154)*R146</f>
        <v>104.976816927861</v>
      </c>
      <c r="S155" s="38" t="n">
        <f aca="false">(S148+S152+S153+S154)*S146</f>
        <v>106.888484919184</v>
      </c>
      <c r="T155" s="38" t="n">
        <f aca="false">(T148+T152+T153+T154)*T146</f>
        <v>109.133143102487</v>
      </c>
      <c r="U155" s="38" t="n">
        <f aca="false">(U148+U152+U153+U154)*U146</f>
        <v>111.424939107639</v>
      </c>
      <c r="V155" s="38" t="n">
        <f aca="false">(V148+V152+V153+V154)*V146</f>
        <v>114.076547384595</v>
      </c>
      <c r="W155" s="38" t="n">
        <f aca="false">(W148+W152+W153+W154)*W146</f>
        <v>116.153924948307</v>
      </c>
      <c r="X155" s="38" t="n">
        <f aca="false">(X148+X152+X153+X154)*X146</f>
        <v>118.593157372221</v>
      </c>
      <c r="Y155" s="38" t="n">
        <f aca="false">(Y148+Y152+Y153+Y154)*Y146</f>
        <v>121.083613677038</v>
      </c>
      <c r="Z155" s="38" t="n">
        <f aca="false">(Z148+Z152+Z153+Z154)*Z146</f>
        <v>123.965071946623</v>
      </c>
      <c r="AA155" s="38" t="n">
        <f aca="false">(AA148+AA152+AA153+AA154)*AA146</f>
        <v>126.222523325105</v>
      </c>
      <c r="AB155" s="38" t="n">
        <f aca="false">(AB148+AB152+AB153+AB154)*AB146</f>
        <v>128.873196314932</v>
      </c>
      <c r="AC155" s="38" t="n">
        <f aca="false">(AC148+AC152+AC153+AC154)*AC146</f>
        <v>131.579533437546</v>
      </c>
      <c r="AD155" s="38" t="n">
        <f aca="false">(AD148+AD152+AD153+AD154)*AD146</f>
        <v>134.710765841487</v>
      </c>
      <c r="AE155" s="38" t="n">
        <f aca="false">(AE148+AE152+AE153+AE154)*AE146</f>
        <v>137.163900416168</v>
      </c>
      <c r="AF155" s="38" t="n">
        <f aca="false">(AF148+AF152+AF153+AF154)*AF146</f>
        <v>140.044342324908</v>
      </c>
      <c r="AG155" s="38" t="n">
        <f aca="false">(AG148+AG152+AG153+AG154)*AG146</f>
        <v>142.985273513731</v>
      </c>
      <c r="AH155" s="38" t="n">
        <f aca="false">(AH148+AH152+AH153+AH154)*AH146</f>
        <v>146.387931282882</v>
      </c>
      <c r="AI155" s="38" t="n">
        <f aca="false">(AI148+AI152+AI153+AI154)*AI146</f>
        <v>149.053711506927</v>
      </c>
      <c r="AJ155" s="38" t="n">
        <f aca="false">(AJ148+AJ152+AJ153+AJ154)*AJ146</f>
        <v>152.183839448573</v>
      </c>
      <c r="AK155" s="38" t="n">
        <f aca="false">(AK148+AK152+AK153+AK154)*AK146</f>
        <v>155.379700076993</v>
      </c>
      <c r="AL155" s="38" t="n">
        <f aca="false">(AL148+AL152+AL153+AL154)*AL146</f>
        <v>159.077311241017</v>
      </c>
      <c r="AM155" s="38" t="n">
        <f aca="false">(AM148+AM152+AM153+AM154)*AM146</f>
        <v>161.97416992796</v>
      </c>
      <c r="AN155" s="38" t="n">
        <f aca="false">(AN148+AN152+AN153+AN154)*AN146</f>
        <v>165.375627496447</v>
      </c>
      <c r="AO155" s="38" t="n">
        <f aca="false">(AO148+AO152+AO153+AO154)*AO146</f>
        <v>168.848515673873</v>
      </c>
      <c r="AP155" s="38" t="n">
        <f aca="false">(AP148+AP152+AP153+AP154)*AP146</f>
        <v>172.866647748238</v>
      </c>
      <c r="AQ155" s="38" t="n">
        <f aca="false">(AQ148+AQ152+AQ153+AQ154)*AQ146</f>
        <v>176.014615527588</v>
      </c>
      <c r="AR155" s="38" t="n">
        <f aca="false">(AR148+AR152+AR153+AR154)*AR146</f>
        <v>179.710922453667</v>
      </c>
      <c r="AS155" s="38" t="n">
        <f aca="false">(AS148+AS152+AS153+AS154)*AS146</f>
        <v>183.484851825194</v>
      </c>
      <c r="AT155" s="38" t="n">
        <f aca="false">(AT148+AT152+AT153+AT154)*AT146</f>
        <v>187.851288600409</v>
      </c>
      <c r="AU155" s="38" t="n">
        <f aca="false">(AU148+AU152+AU153+AU154)*AU146</f>
        <v>191.272132421507</v>
      </c>
      <c r="AV155" s="38" t="n">
        <f aca="false">(AV148+AV152+AV153+AV154)*AV146</f>
        <v>195.288847202359</v>
      </c>
    </row>
    <row r="156" customFormat="false" ht="15" hidden="false" customHeight="false" outlineLevel="0" collapsed="false">
      <c r="B156" s="7" t="s">
        <v>147</v>
      </c>
      <c r="D156" s="37" t="n">
        <f aca="false">((MAX(Inputs!$C$5+1,DATE(D$145,1,1))+DATE(D$145,12,31))/2-Inputs!$C$5)/365</f>
        <v>0.253424657534247</v>
      </c>
      <c r="E156" s="37" t="n">
        <f aca="false">((MAX(Inputs!$C$5+1,DATE(E$145,1,1))+DATE(E$145,12,31))/2-Inputs!$C$5)/365</f>
        <v>1.00547945205479</v>
      </c>
      <c r="F156" s="37" t="n">
        <f aca="false">((MAX(Inputs!$C$5+1,DATE(F$145,1,1))+DATE(F$145,12,31))/2-Inputs!$C$5)/365</f>
        <v>2.00684931506849</v>
      </c>
      <c r="G156" s="37" t="n">
        <f aca="false">((MAX(Inputs!$C$5+1,DATE(G$145,1,1))+DATE(G$145,12,31))/2-Inputs!$C$5)/365</f>
        <v>3.00821917808219</v>
      </c>
      <c r="H156" s="37" t="n">
        <f aca="false">((MAX(Inputs!$C$5+1,DATE(H$145,1,1))+DATE(H$145,12,31))/2-Inputs!$C$5)/365</f>
        <v>4.00821917808219</v>
      </c>
      <c r="I156" s="37" t="n">
        <f aca="false">((MAX(Inputs!$C$5+1,DATE(I$145,1,1))+DATE(I$145,12,31))/2-Inputs!$C$5)/365</f>
        <v>5.00821917808219</v>
      </c>
      <c r="J156" s="37" t="n">
        <f aca="false">((MAX(Inputs!$C$5+1,DATE(J$145,1,1))+DATE(J$145,12,31))/2-Inputs!$C$5)/365</f>
        <v>6.00958904109589</v>
      </c>
      <c r="K156" s="37" t="n">
        <f aca="false">((MAX(Inputs!$C$5+1,DATE(K$145,1,1))+DATE(K$145,12,31))/2-Inputs!$C$5)/365</f>
        <v>7.01095890410959</v>
      </c>
      <c r="L156" s="37" t="n">
        <f aca="false">((MAX(Inputs!$C$5+1,DATE(L$145,1,1))+DATE(L$145,12,31))/2-Inputs!$C$5)/365</f>
        <v>8.01095890410959</v>
      </c>
      <c r="M156" s="37" t="n">
        <f aca="false">((MAX(Inputs!$C$5+1,DATE(M$145,1,1))+DATE(M$145,12,31))/2-Inputs!$C$5)/365</f>
        <v>9.01095890410959</v>
      </c>
      <c r="N156" s="37" t="n">
        <f aca="false">((MAX(Inputs!$C$5+1,DATE(N$145,1,1))+DATE(N$145,12,31))/2-Inputs!$C$5)/365</f>
        <v>10.0123287671233</v>
      </c>
      <c r="O156" s="37" t="n">
        <f aca="false">((MAX(Inputs!$C$5+1,DATE(O$145,1,1))+DATE(O$145,12,31))/2-Inputs!$C$5)/365</f>
        <v>11.013698630137</v>
      </c>
      <c r="P156" s="37" t="n">
        <f aca="false">((MAX(Inputs!$C$5+1,DATE(P$145,1,1))+DATE(P$145,12,31))/2-Inputs!$C$5)/365</f>
        <v>12.013698630137</v>
      </c>
      <c r="Q156" s="37" t="n">
        <f aca="false">((MAX(Inputs!$C$5+1,DATE(Q$145,1,1))+DATE(Q$145,12,31))/2-Inputs!$C$5)/365</f>
        <v>13.013698630137</v>
      </c>
      <c r="R156" s="37" t="n">
        <f aca="false">((MAX(Inputs!$C$5+1,DATE(R$145,1,1))+DATE(R$145,12,31))/2-Inputs!$C$5)/365</f>
        <v>14.0150684931507</v>
      </c>
      <c r="S156" s="37" t="n">
        <f aca="false">((MAX(Inputs!$C$5+1,DATE(S$145,1,1))+DATE(S$145,12,31))/2-Inputs!$C$5)/365</f>
        <v>15.0164383561644</v>
      </c>
      <c r="T156" s="37" t="n">
        <f aca="false">((MAX(Inputs!$C$5+1,DATE(T$145,1,1))+DATE(T$145,12,31))/2-Inputs!$C$5)/365</f>
        <v>16.0164383561644</v>
      </c>
      <c r="U156" s="37" t="n">
        <f aca="false">((MAX(Inputs!$C$5+1,DATE(U$145,1,1))+DATE(U$145,12,31))/2-Inputs!$C$5)/365</f>
        <v>17.0164383561644</v>
      </c>
      <c r="V156" s="37" t="n">
        <f aca="false">((MAX(Inputs!$C$5+1,DATE(V$145,1,1))+DATE(V$145,12,31))/2-Inputs!$C$5)/365</f>
        <v>18.0178082191781</v>
      </c>
      <c r="W156" s="37" t="n">
        <f aca="false">((MAX(Inputs!$C$5+1,DATE(W$145,1,1))+DATE(W$145,12,31))/2-Inputs!$C$5)/365</f>
        <v>19.0191780821918</v>
      </c>
      <c r="X156" s="37" t="n">
        <f aca="false">((MAX(Inputs!$C$5+1,DATE(X$145,1,1))+DATE(X$145,12,31))/2-Inputs!$C$5)/365</f>
        <v>20.0191780821918</v>
      </c>
      <c r="Y156" s="37" t="n">
        <f aca="false">((MAX(Inputs!$C$5+1,DATE(Y$145,1,1))+DATE(Y$145,12,31))/2-Inputs!$C$5)/365</f>
        <v>21.0191780821918</v>
      </c>
      <c r="Z156" s="37" t="n">
        <f aca="false">((MAX(Inputs!$C$5+1,DATE(Z$145,1,1))+DATE(Z$145,12,31))/2-Inputs!$C$5)/365</f>
        <v>22.0205479452055</v>
      </c>
      <c r="AA156" s="37" t="n">
        <f aca="false">((MAX(Inputs!$C$5+1,DATE(AA$145,1,1))+DATE(AA$145,12,31))/2-Inputs!$C$5)/365</f>
        <v>23.0219178082192</v>
      </c>
      <c r="AB156" s="37" t="n">
        <f aca="false">((MAX(Inputs!$C$5+1,DATE(AB$145,1,1))+DATE(AB$145,12,31))/2-Inputs!$C$5)/365</f>
        <v>24.0219178082192</v>
      </c>
      <c r="AC156" s="37" t="n">
        <f aca="false">((MAX(Inputs!$C$5+1,DATE(AC$145,1,1))+DATE(AC$145,12,31))/2-Inputs!$C$5)/365</f>
        <v>25.0219178082192</v>
      </c>
      <c r="AD156" s="37" t="n">
        <f aca="false">((MAX(Inputs!$C$5+1,DATE(AD$145,1,1))+DATE(AD$145,12,31))/2-Inputs!$C$5)/365</f>
        <v>26.0232876712329</v>
      </c>
      <c r="AE156" s="37" t="n">
        <f aca="false">((MAX(Inputs!$C$5+1,DATE(AE$145,1,1))+DATE(AE$145,12,31))/2-Inputs!$C$5)/365</f>
        <v>27.0246575342466</v>
      </c>
      <c r="AF156" s="37" t="n">
        <f aca="false">((MAX(Inputs!$C$5+1,DATE(AF$145,1,1))+DATE(AF$145,12,31))/2-Inputs!$C$5)/365</f>
        <v>28.0246575342466</v>
      </c>
      <c r="AG156" s="37" t="n">
        <f aca="false">((MAX(Inputs!$C$5+1,DATE(AG$145,1,1))+DATE(AG$145,12,31))/2-Inputs!$C$5)/365</f>
        <v>29.0246575342466</v>
      </c>
      <c r="AH156" s="37" t="n">
        <f aca="false">((MAX(Inputs!$C$5+1,DATE(AH$145,1,1))+DATE(AH$145,12,31))/2-Inputs!$C$5)/365</f>
        <v>30.0260273972603</v>
      </c>
      <c r="AI156" s="37" t="n">
        <f aca="false">((MAX(Inputs!$C$5+1,DATE(AI$145,1,1))+DATE(AI$145,12,31))/2-Inputs!$C$5)/365</f>
        <v>31.027397260274</v>
      </c>
      <c r="AJ156" s="37" t="n">
        <f aca="false">((MAX(Inputs!$C$5+1,DATE(AJ$145,1,1))+DATE(AJ$145,12,31))/2-Inputs!$C$5)/365</f>
        <v>32.027397260274</v>
      </c>
      <c r="AK156" s="37" t="n">
        <f aca="false">((MAX(Inputs!$C$5+1,DATE(AK$145,1,1))+DATE(AK$145,12,31))/2-Inputs!$C$5)/365</f>
        <v>33.027397260274</v>
      </c>
      <c r="AL156" s="37" t="n">
        <f aca="false">((MAX(Inputs!$C$5+1,DATE(AL$145,1,1))+DATE(AL$145,12,31))/2-Inputs!$C$5)/365</f>
        <v>34.0287671232877</v>
      </c>
      <c r="AM156" s="37" t="n">
        <f aca="false">((MAX(Inputs!$C$5+1,DATE(AM$145,1,1))+DATE(AM$145,12,31))/2-Inputs!$C$5)/365</f>
        <v>35.0301369863014</v>
      </c>
      <c r="AN156" s="37" t="n">
        <f aca="false">((MAX(Inputs!$C$5+1,DATE(AN$145,1,1))+DATE(AN$145,12,31))/2-Inputs!$C$5)/365</f>
        <v>36.0301369863014</v>
      </c>
      <c r="AO156" s="37" t="n">
        <f aca="false">((MAX(Inputs!$C$5+1,DATE(AO$145,1,1))+DATE(AO$145,12,31))/2-Inputs!$C$5)/365</f>
        <v>37.0301369863014</v>
      </c>
      <c r="AP156" s="37" t="n">
        <f aca="false">((MAX(Inputs!$C$5+1,DATE(AP$145,1,1))+DATE(AP$145,12,31))/2-Inputs!$C$5)/365</f>
        <v>38.0315068493151</v>
      </c>
      <c r="AQ156" s="37" t="n">
        <f aca="false">((MAX(Inputs!$C$5+1,DATE(AQ$145,1,1))+DATE(AQ$145,12,31))/2-Inputs!$C$5)/365</f>
        <v>39.0328767123288</v>
      </c>
      <c r="AR156" s="37" t="n">
        <f aca="false">((MAX(Inputs!$C$5+1,DATE(AR$145,1,1))+DATE(AR$145,12,31))/2-Inputs!$C$5)/365</f>
        <v>40.0328767123288</v>
      </c>
      <c r="AS156" s="37" t="n">
        <f aca="false">((MAX(Inputs!$C$5+1,DATE(AS$145,1,1))+DATE(AS$145,12,31))/2-Inputs!$C$5)/365</f>
        <v>41.0328767123288</v>
      </c>
      <c r="AT156" s="37" t="n">
        <f aca="false">((MAX(Inputs!$C$5+1,DATE(AT$145,1,1))+DATE(AT$145,12,31))/2-Inputs!$C$5)/365</f>
        <v>42.0342465753425</v>
      </c>
      <c r="AU156" s="37" t="n">
        <f aca="false">((MAX(Inputs!$C$5+1,DATE(AU$145,1,1))+DATE(AU$145,12,31))/2-Inputs!$C$5)/365</f>
        <v>43.0356164383562</v>
      </c>
      <c r="AV156" s="37" t="n">
        <f aca="false">((MAX(Inputs!$C$5+1,DATE(AV$145,1,1))+DATE(AV$145,12,31))/2-Inputs!$C$5)/365</f>
        <v>44.0356164383562</v>
      </c>
    </row>
    <row r="157" customFormat="false" ht="15" hidden="false" customHeight="false" outlineLevel="0" collapsed="false">
      <c r="B157" s="7" t="s">
        <v>148</v>
      </c>
      <c r="D157" s="39" t="n">
        <f aca="false">1/(1+$C$138)^D156</f>
        <v>0.984167309000933</v>
      </c>
      <c r="E157" s="39" t="n">
        <f aca="false">1/(1+$C$138)^E156</f>
        <v>0.938643185104451</v>
      </c>
      <c r="F157" s="39" t="n">
        <f aca="false">1/(1+$C$138)^F156</f>
        <v>0.881279074936991</v>
      </c>
      <c r="G157" s="39" t="n">
        <f aca="false">1/(1+$C$138)^G156</f>
        <v>0.827420707087299</v>
      </c>
      <c r="H157" s="39" t="n">
        <f aca="false">1/(1+$C$138)^H156</f>
        <v>0.776920851725163</v>
      </c>
      <c r="I157" s="39" t="n">
        <f aca="false">1/(1+$C$138)^I156</f>
        <v>0.729503147159778</v>
      </c>
      <c r="J157" s="39" t="n">
        <f aca="false">1/(1+$C$138)^J156</f>
        <v>0.684920392429049</v>
      </c>
      <c r="K157" s="39" t="n">
        <f aca="false">1/(1+$C$138)^K156</f>
        <v>0.643062262022586</v>
      </c>
      <c r="L157" s="39" t="n">
        <f aca="false">1/(1+$C$138)^L156</f>
        <v>0.603814330537639</v>
      </c>
      <c r="M157" s="39" t="n">
        <f aca="false">1/(1+$C$138)^M156</f>
        <v>0.566961812711398</v>
      </c>
      <c r="N157" s="39" t="n">
        <f aca="false">1/(1+$C$138)^N156</f>
        <v>0.532312586678292</v>
      </c>
      <c r="O157" s="39" t="n">
        <f aca="false">1/(1+$C$138)^O156</f>
        <v>0.499780908666544</v>
      </c>
      <c r="P157" s="39" t="n">
        <f aca="false">1/(1+$C$138)^P156</f>
        <v>0.469277848513187</v>
      </c>
      <c r="Q157" s="39" t="n">
        <f aca="false">1/(1+$C$138)^Q156</f>
        <v>0.440636477477171</v>
      </c>
      <c r="R157" s="39" t="n">
        <f aca="false">1/(1+$C$138)^R156</f>
        <v>0.413707480560213</v>
      </c>
      <c r="S157" s="39" t="n">
        <f aca="false">1/(1+$C$138)^S156</f>
        <v>0.388424218647096</v>
      </c>
      <c r="T157" s="39" t="n">
        <f aca="false">1/(1+$C$138)^T156</f>
        <v>0.364717576194456</v>
      </c>
      <c r="U157" s="39" t="n">
        <f aca="false">1/(1+$C$138)^U156</f>
        <v>0.342457818022963</v>
      </c>
      <c r="V157" s="39" t="n">
        <f aca="false">1/(1+$C$138)^V156</f>
        <v>0.321528898160203</v>
      </c>
      <c r="W157" s="39" t="n">
        <f aca="false">1/(1+$C$138)^W156</f>
        <v>0.301879025419656</v>
      </c>
      <c r="X157" s="39" t="n">
        <f aca="false">1/(1+$C$138)^X156</f>
        <v>0.283454483962119</v>
      </c>
      <c r="Y157" s="39" t="n">
        <f aca="false">1/(1+$C$138)^Y156</f>
        <v>0.266154445034853</v>
      </c>
      <c r="Z157" s="39" t="n">
        <f aca="false">1/(1+$C$138)^Z156</f>
        <v>0.249888718985993</v>
      </c>
      <c r="AA157" s="39" t="n">
        <f aca="false">1/(1+$C$138)^AA156</f>
        <v>0.234617054275699</v>
      </c>
      <c r="AB157" s="39" t="n">
        <f aca="false">1/(1+$C$138)^AB156</f>
        <v>0.220297703545257</v>
      </c>
      <c r="AC157" s="39" t="n">
        <f aca="false">1/(1+$C$138)^AC156</f>
        <v>0.206852303798364</v>
      </c>
      <c r="AD157" s="39" t="n">
        <f aca="false">1/(1+$C$138)^AD156</f>
        <v>0.194210760630752</v>
      </c>
      <c r="AE157" s="39" t="n">
        <f aca="false">1/(1+$C$138)^AE156</f>
        <v>0.182341790988908</v>
      </c>
      <c r="AF157" s="39" t="n">
        <f aca="false">1/(1+$C$138)^AF156</f>
        <v>0.17121294928536</v>
      </c>
      <c r="AG157" s="39" t="n">
        <f aca="false">1/(1+$C$138)^AG156</f>
        <v>0.16076333266231</v>
      </c>
      <c r="AH157" s="39" t="n">
        <f aca="false">1/(1+$C$138)^AH156</f>
        <v>0.150938464520639</v>
      </c>
      <c r="AI157" s="39" t="n">
        <f aca="false">1/(1+$C$138)^AI156</f>
        <v>0.141714032015645</v>
      </c>
      <c r="AJ157" s="39" t="n">
        <f aca="false">1/(1+$C$138)^AJ156</f>
        <v>0.133064818794032</v>
      </c>
      <c r="AK157" s="39" t="n">
        <f aca="false">1/(1+$C$138)^AK156</f>
        <v>0.124943491825383</v>
      </c>
      <c r="AL157" s="39" t="n">
        <f aca="false">1/(1+$C$138)^AL156</f>
        <v>0.117307712496754</v>
      </c>
      <c r="AM157" s="39" t="n">
        <f aca="false">1/(1+$C$138)^AM156</f>
        <v>0.110138585132976</v>
      </c>
      <c r="AN157" s="39" t="n">
        <f aca="false">1/(1+$C$138)^AN156</f>
        <v>0.103416511861949</v>
      </c>
      <c r="AO157" s="39" t="n">
        <f aca="false">1/(1+$C$138)^AO156</f>
        <v>0.0971047059736612</v>
      </c>
      <c r="AP157" s="39" t="n">
        <f aca="false">1/(1+$C$138)^AP156</f>
        <v>0.0911702623643657</v>
      </c>
      <c r="AQ157" s="39" t="n">
        <f aca="false">1/(1+$C$138)^AQ156</f>
        <v>0.0855984955233976</v>
      </c>
      <c r="AR157" s="39" t="n">
        <f aca="false">1/(1+$C$138)^AR156</f>
        <v>0.0803741742003733</v>
      </c>
      <c r="AS157" s="39" t="n">
        <f aca="false">1/(1+$C$138)^AS156</f>
        <v>0.0754687081693646</v>
      </c>
      <c r="AT157" s="39" t="n">
        <f aca="false">1/(1+$C$138)^AT156</f>
        <v>0.0708565239460897</v>
      </c>
      <c r="AU157" s="39" t="n">
        <f aca="false">1/(1+$C$138)^AU156</f>
        <v>0.0665262081133758</v>
      </c>
      <c r="AV157" s="39" t="n">
        <f aca="false">1/(1+$C$138)^AV156</f>
        <v>0.062465923111151</v>
      </c>
    </row>
    <row r="158" customFormat="false" ht="15" hidden="false" customHeight="false" outlineLevel="0" collapsed="false">
      <c r="B158" s="12" t="s">
        <v>149</v>
      </c>
      <c r="D158" s="40" t="n">
        <f aca="false">D155*D157</f>
        <v>35.3920185679706</v>
      </c>
      <c r="E158" s="40" t="n">
        <f aca="false">E155*E157</f>
        <v>75.0016924191623</v>
      </c>
      <c r="F158" s="40" t="n">
        <f aca="false">F155*F157</f>
        <v>72.0938059799797</v>
      </c>
      <c r="G158" s="40" t="n">
        <f aca="false">G155*G157</f>
        <v>68.9204971601251</v>
      </c>
      <c r="H158" s="40" t="n">
        <f aca="false">H155*H157</f>
        <v>66.0730775591434</v>
      </c>
      <c r="I158" s="40" t="n">
        <f aca="false">I155*I157</f>
        <v>63.3432978290004</v>
      </c>
      <c r="J158" s="40" t="n">
        <f aca="false">J155*J157</f>
        <v>60.8874183570994</v>
      </c>
      <c r="K158" s="40" t="n">
        <f aca="false">K155*K157</f>
        <v>58.2073742248141</v>
      </c>
      <c r="L158" s="40" t="n">
        <f aca="false">L155*L157</f>
        <v>55.8025625197513</v>
      </c>
      <c r="M158" s="40" t="n">
        <f aca="false">M155*M157</f>
        <v>53.4971045377147</v>
      </c>
      <c r="N158" s="40" t="n">
        <f aca="false">N155*N157</f>
        <v>51.4229712774763</v>
      </c>
      <c r="O158" s="40" t="n">
        <f aca="false">O155*O157</f>
        <v>49.1595179047515</v>
      </c>
      <c r="P158" s="40" t="n">
        <f aca="false">P155*P157</f>
        <v>47.1285143481233</v>
      </c>
      <c r="Q158" s="40" t="n">
        <f aca="false">Q155*Q157</f>
        <v>45.1814207975905</v>
      </c>
      <c r="R158" s="40" t="n">
        <f aca="false">R155*R157</f>
        <v>43.4296944484562</v>
      </c>
      <c r="S158" s="40" t="n">
        <f aca="false">S155*S157</f>
        <v>41.518076237106</v>
      </c>
      <c r="T158" s="40" t="n">
        <f aca="false">T155*T157</f>
        <v>39.8027754348218</v>
      </c>
      <c r="U158" s="40" t="n">
        <f aca="false">U155*U157</f>
        <v>38.1583415201437</v>
      </c>
      <c r="V158" s="40" t="n">
        <f aca="false">V155*V157</f>
        <v>36.6789065864891</v>
      </c>
      <c r="W158" s="40" t="n">
        <f aca="false">W155*W157</f>
        <v>35.0644336620627</v>
      </c>
      <c r="X158" s="40" t="n">
        <f aca="false">X155*X157</f>
        <v>33.6157622243812</v>
      </c>
      <c r="Y158" s="40" t="n">
        <f aca="false">Y155*Y157</f>
        <v>32.2269420010265</v>
      </c>
      <c r="Z158" s="40" t="n">
        <f aca="false">Z155*Z157</f>
        <v>30.9774730277482</v>
      </c>
      <c r="AA158" s="40" t="n">
        <f aca="false">AA155*AA157</f>
        <v>29.6139566057818</v>
      </c>
      <c r="AB158" s="40" t="n">
        <f aca="false">AB155*AB157</f>
        <v>28.3904691967166</v>
      </c>
      <c r="AC158" s="40" t="n">
        <f aca="false">AC155*AC157</f>
        <v>27.2175296242701</v>
      </c>
      <c r="AD158" s="40" t="n">
        <f aca="false">AD155*AD157</f>
        <v>26.1622802992263</v>
      </c>
      <c r="AE158" s="40" t="n">
        <f aca="false">AE155*AE157</f>
        <v>25.0107112609084</v>
      </c>
      <c r="AF158" s="40" t="n">
        <f aca="false">AF155*AF157</f>
        <v>23.977404880176</v>
      </c>
      <c r="AG158" s="40" t="n">
        <f aca="false">AG155*AG157</f>
        <v>22.9867890916992</v>
      </c>
      <c r="AH158" s="40" t="n">
        <f aca="false">AH155*AH157</f>
        <v>22.0955695721911</v>
      </c>
      <c r="AI158" s="40" t="n">
        <f aca="false">AI155*AI157</f>
        <v>21.1230024445433</v>
      </c>
      <c r="AJ158" s="40" t="n">
        <f aca="false">AJ155*AJ157</f>
        <v>20.2503150196045</v>
      </c>
      <c r="AK158" s="40" t="n">
        <f aca="false">AK155*AK157</f>
        <v>19.4136822864001</v>
      </c>
      <c r="AL158" s="40" t="n">
        <f aca="false">AL155*AL157</f>
        <v>18.6609954918179</v>
      </c>
      <c r="AM158" s="40" t="n">
        <f aca="false">AM155*AM157</f>
        <v>17.8396059039538</v>
      </c>
      <c r="AN158" s="40" t="n">
        <f aca="false">AN155*AN157</f>
        <v>17.1025705426636</v>
      </c>
      <c r="AO158" s="40" t="n">
        <f aca="false">AO155*AO157</f>
        <v>16.3959854686005</v>
      </c>
      <c r="AP158" s="40" t="n">
        <f aca="false">AP155*AP157</f>
        <v>15.7602976292552</v>
      </c>
      <c r="AQ158" s="40" t="n">
        <f aca="false">AQ155*AQ157</f>
        <v>15.0665862792908</v>
      </c>
      <c r="AR158" s="40" t="n">
        <f aca="false">AR155*AR157</f>
        <v>14.4441169870008</v>
      </c>
      <c r="AS158" s="40" t="n">
        <f aca="false">AS155*AS157</f>
        <v>13.8473647358947</v>
      </c>
      <c r="AT158" s="40" t="n">
        <f aca="false">AT155*AT157</f>
        <v>13.3104893290187</v>
      </c>
      <c r="AU158" s="40" t="n">
        <f aca="false">AU155*AU157</f>
        <v>12.7246096877624</v>
      </c>
      <c r="AV158" s="40" t="n">
        <f aca="false">AV155*AV157</f>
        <v>12.1988981138079</v>
      </c>
    </row>
    <row r="159" customFormat="false" ht="15" hidden="false" customHeight="false" outlineLevel="0" collapsed="false">
      <c r="B159" s="7" t="s">
        <v>150</v>
      </c>
      <c r="D159" s="16" t="n">
        <f aca="false">IF(AND($C$139=0,D$145=$C$141),D148-D147*($C$143+$C$137)-MAX(0,D148-D147*$C$143)*Inputs!$C$11,0)</f>
        <v>0</v>
      </c>
      <c r="E159" s="16" t="n">
        <f aca="false">IF(AND($C$139=0,E$145=$C$141),E148-E147*($C$143+$C$137)-MAX(0,E148-E147*$C$143)*Inputs!$C$11,0)</f>
        <v>0</v>
      </c>
      <c r="F159" s="16" t="n">
        <f aca="false">IF(AND($C$139=0,F$145=$C$141),F148-F147*($C$143+$C$137)-MAX(0,F148-F147*$C$143)*Inputs!$C$11,0)</f>
        <v>0</v>
      </c>
      <c r="G159" s="16" t="n">
        <f aca="false">IF(AND($C$139=0,G$145=$C$141),G148-G147*($C$143+$C$137)-MAX(0,G148-G147*$C$143)*Inputs!$C$11,0)</f>
        <v>0</v>
      </c>
      <c r="H159" s="16" t="n">
        <f aca="false">IF(AND($C$139=0,H$145=$C$141),H148-H147*($C$143+$C$137)-MAX(0,H148-H147*$C$143)*Inputs!$C$11,0)</f>
        <v>0</v>
      </c>
      <c r="I159" s="16" t="n">
        <f aca="false">IF(AND($C$139=0,I$145=$C$141),I148-I147*($C$143+$C$137)-MAX(0,I148-I147*$C$143)*Inputs!$C$11,0)</f>
        <v>0</v>
      </c>
      <c r="J159" s="16" t="n">
        <f aca="false">IF(AND($C$139=0,J$145=$C$141),J148-J147*($C$143+$C$137)-MAX(0,J148-J147*$C$143)*Inputs!$C$11,0)</f>
        <v>0</v>
      </c>
      <c r="K159" s="16" t="n">
        <f aca="false">IF(AND($C$139=0,K$145=$C$141),K148-K147*($C$143+$C$137)-MAX(0,K148-K147*$C$143)*Inputs!$C$11,0)</f>
        <v>0</v>
      </c>
      <c r="L159" s="16" t="n">
        <f aca="false">IF(AND($C$139=0,L$145=$C$141),L148-L147*($C$143+$C$137)-MAX(0,L148-L147*$C$143)*Inputs!$C$11,0)</f>
        <v>0</v>
      </c>
      <c r="M159" s="16" t="n">
        <f aca="false">IF(AND($C$139=0,M$145=$C$141),M148-M147*($C$143+$C$137)-MAX(0,M148-M147*$C$143)*Inputs!$C$11,0)</f>
        <v>0</v>
      </c>
      <c r="N159" s="16" t="n">
        <f aca="false">IF(AND($C$139=0,N$145=$C$141),N148-N147*($C$143+$C$137)-MAX(0,N148-N147*$C$143)*Inputs!$C$11,0)</f>
        <v>0</v>
      </c>
      <c r="O159" s="16" t="n">
        <f aca="false">IF(AND($C$139=0,O$145=$C$141),O148-O147*($C$143+$C$137)-MAX(0,O148-O147*$C$143)*Inputs!$C$11,0)</f>
        <v>0</v>
      </c>
      <c r="P159" s="16" t="n">
        <f aca="false">IF(AND($C$139=0,P$145=$C$141),P148-P147*($C$143+$C$137)-MAX(0,P148-P147*$C$143)*Inputs!$C$11,0)</f>
        <v>0</v>
      </c>
      <c r="Q159" s="16" t="n">
        <f aca="false">IF(AND($C$139=0,Q$145=$C$141),Q148-Q147*($C$143+$C$137)-MAX(0,Q148-Q147*$C$143)*Inputs!$C$11,0)</f>
        <v>0</v>
      </c>
      <c r="R159" s="16" t="n">
        <f aca="false">IF(AND($C$139=0,R$145=$C$141),R148-R147*($C$143+$C$137)-MAX(0,R148-R147*$C$143)*Inputs!$C$11,0)</f>
        <v>0</v>
      </c>
      <c r="S159" s="16" t="n">
        <f aca="false">IF(AND($C$139=0,S$145=$C$141),S148-S147*($C$143+$C$137)-MAX(0,S148-S147*$C$143)*Inputs!$C$11,0)</f>
        <v>0</v>
      </c>
      <c r="T159" s="16" t="n">
        <f aca="false">IF(AND($C$139=0,T$145=$C$141),T148-T147*($C$143+$C$137)-MAX(0,T148-T147*$C$143)*Inputs!$C$11,0)</f>
        <v>0</v>
      </c>
      <c r="U159" s="16" t="n">
        <f aca="false">IF(AND($C$139=0,U$145=$C$141),U148-U147*($C$143+$C$137)-MAX(0,U148-U147*$C$143)*Inputs!$C$11,0)</f>
        <v>0</v>
      </c>
      <c r="V159" s="16" t="n">
        <f aca="false">IF(AND($C$139=0,V$145=$C$141),V148-V147*($C$143+$C$137)-MAX(0,V148-V147*$C$143)*Inputs!$C$11,0)</f>
        <v>0</v>
      </c>
      <c r="W159" s="16" t="n">
        <f aca="false">IF(AND($C$139=0,W$145=$C$141),W148-W147*($C$143+$C$137)-MAX(0,W148-W147*$C$143)*Inputs!$C$11,0)</f>
        <v>0</v>
      </c>
      <c r="X159" s="16" t="n">
        <f aca="false">IF(AND($C$139=0,X$145=$C$141),X148-X147*($C$143+$C$137)-MAX(0,X148-X147*$C$143)*Inputs!$C$11,0)</f>
        <v>0</v>
      </c>
      <c r="Y159" s="16" t="n">
        <f aca="false">IF(AND($C$139=0,Y$145=$C$141),Y148-Y147*($C$143+$C$137)-MAX(0,Y148-Y147*$C$143)*Inputs!$C$11,0)</f>
        <v>0</v>
      </c>
      <c r="Z159" s="16" t="n">
        <f aca="false">IF(AND($C$139=0,Z$145=$C$141),Z148-Z147*($C$143+$C$137)-MAX(0,Z148-Z147*$C$143)*Inputs!$C$11,0)</f>
        <v>0</v>
      </c>
      <c r="AA159" s="16" t="n">
        <f aca="false">IF(AND($C$139=0,AA$145=$C$141),AA148-AA147*($C$143+$C$137)-MAX(0,AA148-AA147*$C$143)*Inputs!$C$11,0)</f>
        <v>0</v>
      </c>
      <c r="AB159" s="16" t="n">
        <f aca="false">IF(AND($C$139=0,AB$145=$C$141),AB148-AB147*($C$143+$C$137)-MAX(0,AB148-AB147*$C$143)*Inputs!$C$11,0)</f>
        <v>0</v>
      </c>
      <c r="AC159" s="16" t="n">
        <f aca="false">IF(AND($C$139=0,AC$145=$C$141),AC148-AC147*($C$143+$C$137)-MAX(0,AC148-AC147*$C$143)*Inputs!$C$11,0)</f>
        <v>0</v>
      </c>
      <c r="AD159" s="16" t="n">
        <f aca="false">IF(AND($C$139=0,AD$145=$C$141),AD148-AD147*($C$143+$C$137)-MAX(0,AD148-AD147*$C$143)*Inputs!$C$11,0)</f>
        <v>0</v>
      </c>
      <c r="AE159" s="16" t="n">
        <f aca="false">IF(AND($C$139=0,AE$145=$C$141),AE148-AE147*($C$143+$C$137)-MAX(0,AE148-AE147*$C$143)*Inputs!$C$11,0)</f>
        <v>0</v>
      </c>
      <c r="AF159" s="16" t="n">
        <f aca="false">IF(AND($C$139=0,AF$145=$C$141),AF148-AF147*($C$143+$C$137)-MAX(0,AF148-AF147*$C$143)*Inputs!$C$11,0)</f>
        <v>0</v>
      </c>
      <c r="AG159" s="16" t="n">
        <f aca="false">IF(AND($C$139=0,AG$145=$C$141),AG148-AG147*($C$143+$C$137)-MAX(0,AG148-AG147*$C$143)*Inputs!$C$11,0)</f>
        <v>0</v>
      </c>
      <c r="AH159" s="16" t="n">
        <f aca="false">IF(AND($C$139=0,AH$145=$C$141),AH148-AH147*($C$143+$C$137)-MAX(0,AH148-AH147*$C$143)*Inputs!$C$11,0)</f>
        <v>0</v>
      </c>
      <c r="AI159" s="16" t="n">
        <f aca="false">IF(AND($C$139=0,AI$145=$C$141),AI148-AI147*($C$143+$C$137)-MAX(0,AI148-AI147*$C$143)*Inputs!$C$11,0)</f>
        <v>0</v>
      </c>
      <c r="AJ159" s="16" t="n">
        <f aca="false">IF(AND($C$139=0,AJ$145=$C$141),AJ148-AJ147*($C$143+$C$137)-MAX(0,AJ148-AJ147*$C$143)*Inputs!$C$11,0)</f>
        <v>0</v>
      </c>
      <c r="AK159" s="16" t="n">
        <f aca="false">IF(AND($C$139=0,AK$145=$C$141),AK148-AK147*($C$143+$C$137)-MAX(0,AK148-AK147*$C$143)*Inputs!$C$11,0)</f>
        <v>0</v>
      </c>
      <c r="AL159" s="16" t="n">
        <f aca="false">IF(AND($C$139=0,AL$145=$C$141),AL148-AL147*($C$143+$C$137)-MAX(0,AL148-AL147*$C$143)*Inputs!$C$11,0)</f>
        <v>0</v>
      </c>
      <c r="AM159" s="16" t="n">
        <f aca="false">IF(AND($C$139=0,AM$145=$C$141),AM148-AM147*($C$143+$C$137)-MAX(0,AM148-AM147*$C$143)*Inputs!$C$11,0)</f>
        <v>0</v>
      </c>
      <c r="AN159" s="16" t="n">
        <f aca="false">IF(AND($C$139=0,AN$145=$C$141),AN148-AN147*($C$143+$C$137)-MAX(0,AN148-AN147*$C$143)*Inputs!$C$11,0)</f>
        <v>0</v>
      </c>
      <c r="AO159" s="16" t="n">
        <f aca="false">IF(AND($C$139=0,AO$145=$C$141),AO148-AO147*($C$143+$C$137)-MAX(0,AO148-AO147*$C$143)*Inputs!$C$11,0)</f>
        <v>0</v>
      </c>
      <c r="AP159" s="16" t="n">
        <f aca="false">IF(AND($C$139=0,AP$145=$C$141),AP148-AP147*($C$143+$C$137)-MAX(0,AP148-AP147*$C$143)*Inputs!$C$11,0)</f>
        <v>0</v>
      </c>
      <c r="AQ159" s="16" t="n">
        <f aca="false">IF(AND($C$139=0,AQ$145=$C$141),AQ148-AQ147*($C$143+$C$137)-MAX(0,AQ148-AQ147*$C$143)*Inputs!$C$11,0)</f>
        <v>0</v>
      </c>
      <c r="AR159" s="16" t="n">
        <f aca="false">IF(AND($C$139=0,AR$145=$C$141),AR148-AR147*($C$143+$C$137)-MAX(0,AR148-AR147*$C$143)*Inputs!$C$11,0)</f>
        <v>0</v>
      </c>
      <c r="AS159" s="16" t="n">
        <f aca="false">IF(AND($C$139=0,AS$145=$C$141),AS148-AS147*($C$143+$C$137)-MAX(0,AS148-AS147*$C$143)*Inputs!$C$11,0)</f>
        <v>0</v>
      </c>
      <c r="AT159" s="16" t="n">
        <f aca="false">IF(AND($C$139=0,AT$145=$C$141),AT148-AT147*($C$143+$C$137)-MAX(0,AT148-AT147*$C$143)*Inputs!$C$11,0)</f>
        <v>0</v>
      </c>
      <c r="AU159" s="16" t="n">
        <f aca="false">IF(AND($C$139=0,AU$145=$C$141),AU148-AU147*($C$143+$C$137)-MAX(0,AU148-AU147*$C$143)*Inputs!$C$11,0)</f>
        <v>0</v>
      </c>
      <c r="AV159" s="16" t="n">
        <f aca="false">IF(AND($C$139=0,AV$145=$C$141),AV148-AV147*($C$143+$C$137)-MAX(0,AV148-AV147*$C$143)*Inputs!$C$11,0)</f>
        <v>0</v>
      </c>
    </row>
    <row r="160" customFormat="false" ht="15" hidden="false" customHeight="false" outlineLevel="0" collapsed="false">
      <c r="B160" s="7" t="s">
        <v>151</v>
      </c>
      <c r="D160" s="16" t="n">
        <f aca="false">D159*(1+$C$142)/($C$138-$C$142)*D157</f>
        <v>0</v>
      </c>
      <c r="E160" s="16" t="n">
        <f aca="false">E159*(1+$C$142)/($C$138-$C$142)*E157</f>
        <v>0</v>
      </c>
      <c r="F160" s="16" t="n">
        <f aca="false">F159*(1+$C$142)/($C$138-$C$142)*F157</f>
        <v>0</v>
      </c>
      <c r="G160" s="16" t="n">
        <f aca="false">G159*(1+$C$142)/($C$138-$C$142)*G157</f>
        <v>0</v>
      </c>
      <c r="H160" s="16" t="n">
        <f aca="false">H159*(1+$C$142)/($C$138-$C$142)*H157</f>
        <v>0</v>
      </c>
      <c r="I160" s="16" t="n">
        <f aca="false">I159*(1+$C$142)/($C$138-$C$142)*I157</f>
        <v>0</v>
      </c>
      <c r="J160" s="16" t="n">
        <f aca="false">J159*(1+$C$142)/($C$138-$C$142)*J157</f>
        <v>0</v>
      </c>
      <c r="K160" s="16" t="n">
        <f aca="false">K159*(1+$C$142)/($C$138-$C$142)*K157</f>
        <v>0</v>
      </c>
      <c r="L160" s="16" t="n">
        <f aca="false">L159*(1+$C$142)/($C$138-$C$142)*L157</f>
        <v>0</v>
      </c>
      <c r="M160" s="16" t="n">
        <f aca="false">M159*(1+$C$142)/($C$138-$C$142)*M157</f>
        <v>0</v>
      </c>
      <c r="N160" s="16" t="n">
        <f aca="false">N159*(1+$C$142)/($C$138-$C$142)*N157</f>
        <v>0</v>
      </c>
      <c r="O160" s="16" t="n">
        <f aca="false">O159*(1+$C$142)/($C$138-$C$142)*O157</f>
        <v>0</v>
      </c>
      <c r="P160" s="16" t="n">
        <f aca="false">P159*(1+$C$142)/($C$138-$C$142)*P157</f>
        <v>0</v>
      </c>
      <c r="Q160" s="16" t="n">
        <f aca="false">Q159*(1+$C$142)/($C$138-$C$142)*Q157</f>
        <v>0</v>
      </c>
      <c r="R160" s="16" t="n">
        <f aca="false">R159*(1+$C$142)/($C$138-$C$142)*R157</f>
        <v>0</v>
      </c>
      <c r="S160" s="16" t="n">
        <f aca="false">S159*(1+$C$142)/($C$138-$C$142)*S157</f>
        <v>0</v>
      </c>
      <c r="T160" s="16" t="n">
        <f aca="false">T159*(1+$C$142)/($C$138-$C$142)*T157</f>
        <v>0</v>
      </c>
      <c r="U160" s="16" t="n">
        <f aca="false">U159*(1+$C$142)/($C$138-$C$142)*U157</f>
        <v>0</v>
      </c>
      <c r="V160" s="16" t="n">
        <f aca="false">V159*(1+$C$142)/($C$138-$C$142)*V157</f>
        <v>0</v>
      </c>
      <c r="W160" s="16" t="n">
        <f aca="false">W159*(1+$C$142)/($C$138-$C$142)*W157</f>
        <v>0</v>
      </c>
      <c r="X160" s="16" t="n">
        <f aca="false">X159*(1+$C$142)/($C$138-$C$142)*X157</f>
        <v>0</v>
      </c>
      <c r="Y160" s="16" t="n">
        <f aca="false">Y159*(1+$C$142)/($C$138-$C$142)*Y157</f>
        <v>0</v>
      </c>
      <c r="Z160" s="16" t="n">
        <f aca="false">Z159*(1+$C$142)/($C$138-$C$142)*Z157</f>
        <v>0</v>
      </c>
      <c r="AA160" s="16" t="n">
        <f aca="false">AA159*(1+$C$142)/($C$138-$C$142)*AA157</f>
        <v>0</v>
      </c>
      <c r="AB160" s="16" t="n">
        <f aca="false">AB159*(1+$C$142)/($C$138-$C$142)*AB157</f>
        <v>0</v>
      </c>
      <c r="AC160" s="16" t="n">
        <f aca="false">AC159*(1+$C$142)/($C$138-$C$142)*AC157</f>
        <v>0</v>
      </c>
      <c r="AD160" s="16" t="n">
        <f aca="false">AD159*(1+$C$142)/($C$138-$C$142)*AD157</f>
        <v>0</v>
      </c>
      <c r="AE160" s="16" t="n">
        <f aca="false">AE159*(1+$C$142)/($C$138-$C$142)*AE157</f>
        <v>0</v>
      </c>
      <c r="AF160" s="16" t="n">
        <f aca="false">AF159*(1+$C$142)/($C$138-$C$142)*AF157</f>
        <v>0</v>
      </c>
      <c r="AG160" s="16" t="n">
        <f aca="false">AG159*(1+$C$142)/($C$138-$C$142)*AG157</f>
        <v>0</v>
      </c>
      <c r="AH160" s="16" t="n">
        <f aca="false">AH159*(1+$C$142)/($C$138-$C$142)*AH157</f>
        <v>0</v>
      </c>
      <c r="AI160" s="16" t="n">
        <f aca="false">AI159*(1+$C$142)/($C$138-$C$142)*AI157</f>
        <v>0</v>
      </c>
      <c r="AJ160" s="16" t="n">
        <f aca="false">AJ159*(1+$C$142)/($C$138-$C$142)*AJ157</f>
        <v>0</v>
      </c>
      <c r="AK160" s="16" t="n">
        <f aca="false">AK159*(1+$C$142)/($C$138-$C$142)*AK157</f>
        <v>0</v>
      </c>
      <c r="AL160" s="16" t="n">
        <f aca="false">AL159*(1+$C$142)/($C$138-$C$142)*AL157</f>
        <v>0</v>
      </c>
      <c r="AM160" s="16" t="n">
        <f aca="false">AM159*(1+$C$142)/($C$138-$C$142)*AM157</f>
        <v>0</v>
      </c>
      <c r="AN160" s="16" t="n">
        <f aca="false">AN159*(1+$C$142)/($C$138-$C$142)*AN157</f>
        <v>0</v>
      </c>
      <c r="AO160" s="16" t="n">
        <f aca="false">AO159*(1+$C$142)/($C$138-$C$142)*AO157</f>
        <v>0</v>
      </c>
      <c r="AP160" s="16" t="n">
        <f aca="false">AP159*(1+$C$142)/($C$138-$C$142)*AP157</f>
        <v>0</v>
      </c>
      <c r="AQ160" s="16" t="n">
        <f aca="false">AQ159*(1+$C$142)/($C$138-$C$142)*AQ157</f>
        <v>0</v>
      </c>
      <c r="AR160" s="16" t="n">
        <f aca="false">AR159*(1+$C$142)/($C$138-$C$142)*AR157</f>
        <v>0</v>
      </c>
      <c r="AS160" s="16" t="n">
        <f aca="false">AS159*(1+$C$142)/($C$138-$C$142)*AS157</f>
        <v>0</v>
      </c>
      <c r="AT160" s="16" t="n">
        <f aca="false">AT159*(1+$C$142)/($C$138-$C$142)*AT157</f>
        <v>0</v>
      </c>
      <c r="AU160" s="16" t="n">
        <f aca="false">AU159*(1+$C$142)/($C$138-$C$142)*AU157</f>
        <v>0</v>
      </c>
      <c r="AV160" s="16" t="n">
        <f aca="false">AV159*(1+$C$142)/($C$138-$C$142)*AV157</f>
        <v>0</v>
      </c>
    </row>
    <row r="162" customFormat="false" ht="15" hidden="false" customHeight="false" outlineLevel="0" collapsed="false">
      <c r="B162" s="7" t="s">
        <v>152</v>
      </c>
      <c r="C162" s="16" t="n">
        <f aca="false">SUM($D$158:$AV$158)</f>
        <v>1567.17690907552</v>
      </c>
    </row>
    <row r="163" customFormat="false" ht="15" hidden="false" customHeight="false" outlineLevel="0" collapsed="false">
      <c r="B163" s="7" t="s">
        <v>151</v>
      </c>
      <c r="C163" s="16" t="n">
        <f aca="false">SUM($D$160:$AV$160)</f>
        <v>0</v>
      </c>
    </row>
    <row r="164" customFormat="false" ht="15" hidden="false" customHeight="false" outlineLevel="0" collapsed="false">
      <c r="B164" s="12" t="s">
        <v>164</v>
      </c>
      <c r="C164" s="13" t="n">
        <f aca="false">C162+C163</f>
        <v>1567.17690907552</v>
      </c>
    </row>
    <row r="165" customFormat="false" ht="15" hidden="false" customHeight="false" outlineLevel="0" collapsed="false">
      <c r="B165" s="7" t="s">
        <v>154</v>
      </c>
      <c r="C165" s="10" t="n">
        <f aca="false">IF(C164=0,0,C163/C164)</f>
        <v>0</v>
      </c>
    </row>
    <row r="166" customFormat="false" ht="15" hidden="false" customHeight="false" outlineLevel="0" collapsed="false">
      <c r="B166" s="7" t="s">
        <v>155</v>
      </c>
      <c r="C166" s="41" t="n">
        <f aca="false">IF(D148=0,0,C164/D148)</f>
        <v>13.9703590831029</v>
      </c>
    </row>
    <row r="167" customFormat="false" ht="15" hidden="false" customHeight="false" outlineLevel="0" collapsed="false">
      <c r="B167" s="7" t="s">
        <v>156</v>
      </c>
      <c r="C167" s="16" t="n">
        <f aca="false">SUM($D$159:$AV$159)</f>
        <v>0</v>
      </c>
    </row>
    <row r="168" customFormat="false" ht="15" hidden="false" customHeight="false" outlineLevel="0" collapsed="false">
      <c r="B168" s="7" t="s">
        <v>157</v>
      </c>
      <c r="C168" s="37" t="n">
        <f aca="false">SUMPRODUCT(($D$145:$AV$145=$C$141)*$D$156:$AV$156)</f>
        <v>0</v>
      </c>
    </row>
    <row r="169" customFormat="false" ht="15" hidden="false" customHeight="false" outlineLevel="0" collapsed="false">
      <c r="B169" s="12" t="s">
        <v>158</v>
      </c>
      <c r="C169" s="12" t="str">
        <f aca="false">IF(AND($C$138&gt;$C$142,SUMPRODUCT(($D$145:$AV$145&gt;YEAR($C$140))*($C$139=1)*ABS($D$155:$AV$155))=0),"OK","REVISAR")</f>
        <v>OK</v>
      </c>
    </row>
  </sheetData>
  <mergeCells count="8">
    <mergeCell ref="B4:F4"/>
    <mergeCell ref="D5:N17"/>
    <mergeCell ref="B46:F46"/>
    <mergeCell ref="D47:N59"/>
    <mergeCell ref="B88:F88"/>
    <mergeCell ref="D89:N101"/>
    <mergeCell ref="B130:F130"/>
    <mergeCell ref="D131:N1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V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2" min="2" style="0" width="58"/>
    <col collapsed="false" customWidth="true" hidden="false" outlineLevel="0" max="3" min="3" style="0" width="14"/>
    <col collapsed="false" customWidth="true" hidden="false" outlineLevel="0" max="48" min="4" style="0" width="9"/>
  </cols>
  <sheetData>
    <row r="2" customFormat="false" ht="16.15" hidden="false" customHeight="false" outlineLevel="0" collapsed="false">
      <c r="B2" s="4" t="s">
        <v>165</v>
      </c>
    </row>
    <row r="4" customFormat="false" ht="15" hidden="false" customHeight="false" outlineLevel="0" collapsed="false">
      <c r="B4" s="22" t="s">
        <v>31</v>
      </c>
      <c r="C4" s="22"/>
      <c r="D4" s="22"/>
      <c r="E4" s="22"/>
      <c r="F4" s="22"/>
    </row>
    <row r="5" customFormat="false" ht="15" hidden="false" customHeight="true" outlineLevel="0" collapsed="false">
      <c r="B5" s="7" t="s">
        <v>122</v>
      </c>
      <c r="C5" s="31" t="n">
        <v>1740</v>
      </c>
      <c r="D5" s="33" t="s">
        <v>166</v>
      </c>
      <c r="E5" s="33"/>
      <c r="F5" s="33"/>
      <c r="G5" s="33"/>
      <c r="H5" s="33"/>
      <c r="I5" s="33"/>
      <c r="J5" s="33"/>
      <c r="K5" s="33"/>
      <c r="L5" s="33"/>
      <c r="M5" s="33"/>
      <c r="N5" s="33"/>
    </row>
    <row r="6" customFormat="false" ht="15" hidden="false" customHeight="false" outlineLevel="0" collapsed="false">
      <c r="B6" s="7" t="s">
        <v>124</v>
      </c>
      <c r="C6" s="29" t="n">
        <v>0.02</v>
      </c>
      <c r="D6" s="33"/>
      <c r="E6" s="33"/>
      <c r="F6" s="33"/>
      <c r="G6" s="33"/>
      <c r="H6" s="33"/>
      <c r="I6" s="33"/>
      <c r="J6" s="33"/>
      <c r="K6" s="33"/>
      <c r="L6" s="33"/>
      <c r="M6" s="33"/>
      <c r="N6" s="33"/>
    </row>
    <row r="7" customFormat="false" ht="15" hidden="false" customHeight="false" outlineLevel="0" collapsed="false">
      <c r="B7" s="7" t="s">
        <v>125</v>
      </c>
      <c r="C7" s="30" t="n">
        <v>0.035</v>
      </c>
      <c r="D7" s="33"/>
      <c r="E7" s="33"/>
      <c r="F7" s="33"/>
      <c r="G7" s="33"/>
      <c r="H7" s="33"/>
      <c r="I7" s="33"/>
      <c r="J7" s="33"/>
      <c r="K7" s="33"/>
      <c r="L7" s="33"/>
      <c r="M7" s="33"/>
      <c r="N7" s="33"/>
    </row>
    <row r="8" customFormat="false" ht="15" hidden="false" customHeight="false" outlineLevel="0" collapsed="false">
      <c r="B8" s="7" t="s">
        <v>126</v>
      </c>
      <c r="C8" s="29" t="n">
        <v>0.6343</v>
      </c>
      <c r="D8" s="33"/>
      <c r="E8" s="33"/>
      <c r="F8" s="33"/>
      <c r="G8" s="33"/>
      <c r="H8" s="33"/>
      <c r="I8" s="33"/>
      <c r="J8" s="33"/>
      <c r="K8" s="33"/>
      <c r="L8" s="33"/>
      <c r="M8" s="33"/>
      <c r="N8" s="33"/>
    </row>
    <row r="9" customFormat="false" ht="15" hidden="false" customHeight="false" outlineLevel="0" collapsed="false">
      <c r="B9" s="7" t="s">
        <v>127</v>
      </c>
      <c r="C9" s="29" t="n">
        <v>0.1172</v>
      </c>
      <c r="D9" s="33"/>
      <c r="E9" s="33"/>
      <c r="F9" s="33"/>
      <c r="G9" s="33"/>
      <c r="H9" s="33"/>
      <c r="I9" s="33"/>
      <c r="J9" s="33"/>
      <c r="K9" s="33"/>
      <c r="L9" s="33"/>
      <c r="M9" s="33"/>
      <c r="N9" s="33"/>
    </row>
    <row r="10" customFormat="false" ht="15" hidden="false" customHeight="false" outlineLevel="0" collapsed="false">
      <c r="B10" s="7" t="s">
        <v>128</v>
      </c>
      <c r="C10" s="29" t="n">
        <v>0.133</v>
      </c>
      <c r="D10" s="33"/>
      <c r="E10" s="33"/>
      <c r="F10" s="33"/>
      <c r="G10" s="33"/>
      <c r="H10" s="33"/>
      <c r="I10" s="33"/>
      <c r="J10" s="33"/>
      <c r="K10" s="33"/>
      <c r="L10" s="33"/>
      <c r="M10" s="33"/>
      <c r="N10" s="33"/>
    </row>
    <row r="11" customFormat="false" ht="15" hidden="false" customHeight="false" outlineLevel="0" collapsed="false">
      <c r="B11" s="7" t="s">
        <v>129</v>
      </c>
      <c r="C11" s="29" t="n">
        <v>0.0048</v>
      </c>
      <c r="D11" s="33"/>
      <c r="E11" s="33"/>
      <c r="F11" s="33"/>
      <c r="G11" s="33"/>
      <c r="H11" s="33"/>
      <c r="I11" s="33"/>
      <c r="J11" s="33"/>
      <c r="K11" s="33"/>
      <c r="L11" s="33"/>
      <c r="M11" s="33"/>
      <c r="N11" s="33"/>
    </row>
    <row r="12" customFormat="false" ht="15" hidden="false" customHeight="false" outlineLevel="0" collapsed="false">
      <c r="B12" s="7" t="s">
        <v>130</v>
      </c>
      <c r="C12" s="30" t="n">
        <v>0.075</v>
      </c>
      <c r="D12" s="33"/>
      <c r="E12" s="33"/>
      <c r="F12" s="33"/>
      <c r="G12" s="33"/>
      <c r="H12" s="33"/>
      <c r="I12" s="33"/>
      <c r="J12" s="33"/>
      <c r="K12" s="33"/>
      <c r="L12" s="33"/>
      <c r="M12" s="33"/>
      <c r="N12" s="33"/>
    </row>
    <row r="13" customFormat="false" ht="15" hidden="false" customHeight="false" outlineLevel="0" collapsed="false">
      <c r="B13" s="7" t="s">
        <v>131</v>
      </c>
      <c r="C13" s="34" t="n">
        <v>0</v>
      </c>
      <c r="D13" s="33"/>
      <c r="E13" s="33"/>
      <c r="F13" s="33"/>
      <c r="G13" s="33"/>
      <c r="H13" s="33"/>
      <c r="I13" s="33"/>
      <c r="J13" s="33"/>
      <c r="K13" s="33"/>
      <c r="L13" s="33"/>
      <c r="M13" s="33"/>
      <c r="N13" s="33"/>
    </row>
    <row r="14" customFormat="false" ht="15" hidden="false" customHeight="false" outlineLevel="0" collapsed="false">
      <c r="B14" s="7" t="s">
        <v>132</v>
      </c>
      <c r="C14" s="35" t="n">
        <v>46387</v>
      </c>
      <c r="D14" s="33"/>
      <c r="E14" s="33"/>
      <c r="F14" s="33"/>
      <c r="G14" s="33"/>
      <c r="H14" s="33"/>
      <c r="I14" s="33"/>
      <c r="J14" s="33"/>
      <c r="K14" s="33"/>
      <c r="L14" s="33"/>
      <c r="M14" s="33"/>
      <c r="N14" s="33"/>
    </row>
    <row r="15" customFormat="false" ht="15" hidden="false" customHeight="false" outlineLevel="0" collapsed="false">
      <c r="B15" s="7" t="s">
        <v>133</v>
      </c>
      <c r="C15" s="34" t="n">
        <v>2035</v>
      </c>
      <c r="D15" s="33"/>
      <c r="E15" s="33"/>
      <c r="F15" s="33"/>
      <c r="G15" s="33"/>
      <c r="H15" s="33"/>
      <c r="I15" s="33"/>
      <c r="J15" s="33"/>
      <c r="K15" s="33"/>
      <c r="L15" s="33"/>
      <c r="M15" s="33"/>
      <c r="N15" s="33"/>
    </row>
    <row r="16" customFormat="false" ht="15" hidden="false" customHeight="false" outlineLevel="0" collapsed="false">
      <c r="B16" s="7" t="s">
        <v>134</v>
      </c>
      <c r="C16" s="30" t="n">
        <v>0.02</v>
      </c>
      <c r="D16" s="33"/>
      <c r="E16" s="33"/>
      <c r="F16" s="33"/>
      <c r="G16" s="33"/>
      <c r="H16" s="33"/>
      <c r="I16" s="33"/>
      <c r="J16" s="33"/>
      <c r="K16" s="33"/>
      <c r="L16" s="33"/>
      <c r="M16" s="33"/>
      <c r="N16" s="33"/>
    </row>
    <row r="17" customFormat="false" ht="15" hidden="false" customHeight="false" outlineLevel="0" collapsed="false">
      <c r="B17" s="7" t="s">
        <v>135</v>
      </c>
      <c r="C17" s="29" t="n">
        <v>0.06</v>
      </c>
      <c r="D17" s="33"/>
      <c r="E17" s="33"/>
      <c r="F17" s="33"/>
      <c r="G17" s="33"/>
      <c r="H17" s="33"/>
      <c r="I17" s="33"/>
      <c r="J17" s="33"/>
      <c r="K17" s="33"/>
      <c r="L17" s="33"/>
      <c r="M17" s="33"/>
      <c r="N17" s="33"/>
    </row>
    <row r="19" customFormat="false" ht="15" hidden="false" customHeight="false" outlineLevel="0" collapsed="false">
      <c r="B19" s="6" t="s">
        <v>136</v>
      </c>
      <c r="D19" s="36" t="n">
        <v>2026</v>
      </c>
      <c r="E19" s="36" t="n">
        <v>2027</v>
      </c>
      <c r="F19" s="36" t="n">
        <v>2028</v>
      </c>
      <c r="G19" s="36" t="n">
        <v>2029</v>
      </c>
      <c r="H19" s="36" t="n">
        <v>2030</v>
      </c>
      <c r="I19" s="36" t="n">
        <v>2031</v>
      </c>
      <c r="J19" s="36" t="n">
        <v>2032</v>
      </c>
      <c r="K19" s="36" t="n">
        <v>2033</v>
      </c>
      <c r="L19" s="36" t="n">
        <v>2034</v>
      </c>
      <c r="M19" s="36" t="n">
        <v>2035</v>
      </c>
      <c r="N19" s="36" t="n">
        <v>2036</v>
      </c>
      <c r="O19" s="36" t="n">
        <v>2037</v>
      </c>
      <c r="P19" s="36" t="n">
        <v>2038</v>
      </c>
      <c r="Q19" s="36" t="n">
        <v>2039</v>
      </c>
      <c r="R19" s="36" t="n">
        <v>2040</v>
      </c>
      <c r="S19" s="36" t="n">
        <v>2041</v>
      </c>
      <c r="T19" s="36" t="n">
        <v>2042</v>
      </c>
      <c r="U19" s="36" t="n">
        <v>2043</v>
      </c>
      <c r="V19" s="36" t="n">
        <v>2044</v>
      </c>
      <c r="W19" s="36" t="n">
        <v>2045</v>
      </c>
      <c r="X19" s="36" t="n">
        <v>2046</v>
      </c>
      <c r="Y19" s="36" t="n">
        <v>2047</v>
      </c>
      <c r="Z19" s="36" t="n">
        <v>2048</v>
      </c>
      <c r="AA19" s="36" t="n">
        <v>2049</v>
      </c>
      <c r="AB19" s="36" t="n">
        <v>2050</v>
      </c>
      <c r="AC19" s="36" t="n">
        <v>2051</v>
      </c>
      <c r="AD19" s="36" t="n">
        <v>2052</v>
      </c>
      <c r="AE19" s="36" t="n">
        <v>2053</v>
      </c>
      <c r="AF19" s="36" t="n">
        <v>2054</v>
      </c>
      <c r="AG19" s="36" t="n">
        <v>2055</v>
      </c>
      <c r="AH19" s="36" t="n">
        <v>2056</v>
      </c>
      <c r="AI19" s="36" t="n">
        <v>2057</v>
      </c>
      <c r="AJ19" s="36" t="n">
        <v>2058</v>
      </c>
      <c r="AK19" s="36" t="n">
        <v>2059</v>
      </c>
      <c r="AL19" s="36" t="n">
        <v>2060</v>
      </c>
      <c r="AM19" s="36" t="n">
        <v>2061</v>
      </c>
      <c r="AN19" s="36" t="n">
        <v>2062</v>
      </c>
      <c r="AO19" s="36" t="n">
        <v>2063</v>
      </c>
      <c r="AP19" s="36" t="n">
        <v>2064</v>
      </c>
      <c r="AQ19" s="36" t="n">
        <v>2065</v>
      </c>
      <c r="AR19" s="36" t="n">
        <v>2066</v>
      </c>
      <c r="AS19" s="36" t="n">
        <v>2067</v>
      </c>
      <c r="AT19" s="36" t="n">
        <v>2068</v>
      </c>
      <c r="AU19" s="36" t="n">
        <v>2069</v>
      </c>
      <c r="AV19" s="36" t="n">
        <v>2070</v>
      </c>
    </row>
    <row r="20" customFormat="false" ht="15" hidden="false" customHeight="false" outlineLevel="0" collapsed="false">
      <c r="B20" s="7" t="s">
        <v>137</v>
      </c>
      <c r="D20" s="37" t="n">
        <f aca="false">IF($C$13=1,MAX(0,MIN(DATE(D$19,12,31),$C$14)-MAX(Inputs!$C$5+1,DATE(D$19,1,1))+1)/365,IF(D$19&lt;=$C$15,(DATE(D$19,12,31)-MAX(Inputs!$C$5+1,DATE(D$19,1,1))+1)/365,0))</f>
        <v>0.504109589041096</v>
      </c>
      <c r="E20" s="37" t="n">
        <f aca="false">IF($C$13=1,MAX(0,MIN(DATE(E$19,12,31),$C$14)-MAX(Inputs!$C$5+1,DATE(E$19,1,1))+1)/365,IF(E$19&lt;=$C$15,(DATE(E$19,12,31)-MAX(Inputs!$C$5+1,DATE(E$19,1,1))+1)/365,0))</f>
        <v>1</v>
      </c>
      <c r="F20" s="37" t="n">
        <f aca="false">IF($C$13=1,MAX(0,MIN(DATE(F$19,12,31),$C$14)-MAX(Inputs!$C$5+1,DATE(F$19,1,1))+1)/365,IF(F$19&lt;=$C$15,(DATE(F$19,12,31)-MAX(Inputs!$C$5+1,DATE(F$19,1,1))+1)/365,0))</f>
        <v>1.0027397260274</v>
      </c>
      <c r="G20" s="37" t="n">
        <f aca="false">IF($C$13=1,MAX(0,MIN(DATE(G$19,12,31),$C$14)-MAX(Inputs!$C$5+1,DATE(G$19,1,1))+1)/365,IF(G$19&lt;=$C$15,(DATE(G$19,12,31)-MAX(Inputs!$C$5+1,DATE(G$19,1,1))+1)/365,0))</f>
        <v>1</v>
      </c>
      <c r="H20" s="37" t="n">
        <f aca="false">IF($C$13=1,MAX(0,MIN(DATE(H$19,12,31),$C$14)-MAX(Inputs!$C$5+1,DATE(H$19,1,1))+1)/365,IF(H$19&lt;=$C$15,(DATE(H$19,12,31)-MAX(Inputs!$C$5+1,DATE(H$19,1,1))+1)/365,0))</f>
        <v>1</v>
      </c>
      <c r="I20" s="37" t="n">
        <f aca="false">IF($C$13=1,MAX(0,MIN(DATE(I$19,12,31),$C$14)-MAX(Inputs!$C$5+1,DATE(I$19,1,1))+1)/365,IF(I$19&lt;=$C$15,(DATE(I$19,12,31)-MAX(Inputs!$C$5+1,DATE(I$19,1,1))+1)/365,0))</f>
        <v>1</v>
      </c>
      <c r="J20" s="37" t="n">
        <f aca="false">IF($C$13=1,MAX(0,MIN(DATE(J$19,12,31),$C$14)-MAX(Inputs!$C$5+1,DATE(J$19,1,1))+1)/365,IF(J$19&lt;=$C$15,(DATE(J$19,12,31)-MAX(Inputs!$C$5+1,DATE(J$19,1,1))+1)/365,0))</f>
        <v>1.0027397260274</v>
      </c>
      <c r="K20" s="37" t="n">
        <f aca="false">IF($C$13=1,MAX(0,MIN(DATE(K$19,12,31),$C$14)-MAX(Inputs!$C$5+1,DATE(K$19,1,1))+1)/365,IF(K$19&lt;=$C$15,(DATE(K$19,12,31)-MAX(Inputs!$C$5+1,DATE(K$19,1,1))+1)/365,0))</f>
        <v>1</v>
      </c>
      <c r="L20" s="37" t="n">
        <f aca="false">IF($C$13=1,MAX(0,MIN(DATE(L$19,12,31),$C$14)-MAX(Inputs!$C$5+1,DATE(L$19,1,1))+1)/365,IF(L$19&lt;=$C$15,(DATE(L$19,12,31)-MAX(Inputs!$C$5+1,DATE(L$19,1,1))+1)/365,0))</f>
        <v>1</v>
      </c>
      <c r="M20" s="37" t="n">
        <f aca="false">IF($C$13=1,MAX(0,MIN(DATE(M$19,12,31),$C$14)-MAX(Inputs!$C$5+1,DATE(M$19,1,1))+1)/365,IF(M$19&lt;=$C$15,(DATE(M$19,12,31)-MAX(Inputs!$C$5+1,DATE(M$19,1,1))+1)/365,0))</f>
        <v>1</v>
      </c>
      <c r="N20" s="37" t="n">
        <f aca="false">IF($C$13=1,MAX(0,MIN(DATE(N$19,12,31),$C$14)-MAX(Inputs!$C$5+1,DATE(N$19,1,1))+1)/365,IF(N$19&lt;=$C$15,(DATE(N$19,12,31)-MAX(Inputs!$C$5+1,DATE(N$19,1,1))+1)/365,0))</f>
        <v>0</v>
      </c>
      <c r="O20" s="37" t="n">
        <f aca="false">IF($C$13=1,MAX(0,MIN(DATE(O$19,12,31),$C$14)-MAX(Inputs!$C$5+1,DATE(O$19,1,1))+1)/365,IF(O$19&lt;=$C$15,(DATE(O$19,12,31)-MAX(Inputs!$C$5+1,DATE(O$19,1,1))+1)/365,0))</f>
        <v>0</v>
      </c>
      <c r="P20" s="37" t="n">
        <f aca="false">IF($C$13=1,MAX(0,MIN(DATE(P$19,12,31),$C$14)-MAX(Inputs!$C$5+1,DATE(P$19,1,1))+1)/365,IF(P$19&lt;=$C$15,(DATE(P$19,12,31)-MAX(Inputs!$C$5+1,DATE(P$19,1,1))+1)/365,0))</f>
        <v>0</v>
      </c>
      <c r="Q20" s="37" t="n">
        <f aca="false">IF($C$13=1,MAX(0,MIN(DATE(Q$19,12,31),$C$14)-MAX(Inputs!$C$5+1,DATE(Q$19,1,1))+1)/365,IF(Q$19&lt;=$C$15,(DATE(Q$19,12,31)-MAX(Inputs!$C$5+1,DATE(Q$19,1,1))+1)/365,0))</f>
        <v>0</v>
      </c>
      <c r="R20" s="37" t="n">
        <f aca="false">IF($C$13=1,MAX(0,MIN(DATE(R$19,12,31),$C$14)-MAX(Inputs!$C$5+1,DATE(R$19,1,1))+1)/365,IF(R$19&lt;=$C$15,(DATE(R$19,12,31)-MAX(Inputs!$C$5+1,DATE(R$19,1,1))+1)/365,0))</f>
        <v>0</v>
      </c>
      <c r="S20" s="37" t="n">
        <f aca="false">IF($C$13=1,MAX(0,MIN(DATE(S$19,12,31),$C$14)-MAX(Inputs!$C$5+1,DATE(S$19,1,1))+1)/365,IF(S$19&lt;=$C$15,(DATE(S$19,12,31)-MAX(Inputs!$C$5+1,DATE(S$19,1,1))+1)/365,0))</f>
        <v>0</v>
      </c>
      <c r="T20" s="37" t="n">
        <f aca="false">IF($C$13=1,MAX(0,MIN(DATE(T$19,12,31),$C$14)-MAX(Inputs!$C$5+1,DATE(T$19,1,1))+1)/365,IF(T$19&lt;=$C$15,(DATE(T$19,12,31)-MAX(Inputs!$C$5+1,DATE(T$19,1,1))+1)/365,0))</f>
        <v>0</v>
      </c>
      <c r="U20" s="37" t="n">
        <f aca="false">IF($C$13=1,MAX(0,MIN(DATE(U$19,12,31),$C$14)-MAX(Inputs!$C$5+1,DATE(U$19,1,1))+1)/365,IF(U$19&lt;=$C$15,(DATE(U$19,12,31)-MAX(Inputs!$C$5+1,DATE(U$19,1,1))+1)/365,0))</f>
        <v>0</v>
      </c>
      <c r="V20" s="37" t="n">
        <f aca="false">IF($C$13=1,MAX(0,MIN(DATE(V$19,12,31),$C$14)-MAX(Inputs!$C$5+1,DATE(V$19,1,1))+1)/365,IF(V$19&lt;=$C$15,(DATE(V$19,12,31)-MAX(Inputs!$C$5+1,DATE(V$19,1,1))+1)/365,0))</f>
        <v>0</v>
      </c>
      <c r="W20" s="37" t="n">
        <f aca="false">IF($C$13=1,MAX(0,MIN(DATE(W$19,12,31),$C$14)-MAX(Inputs!$C$5+1,DATE(W$19,1,1))+1)/365,IF(W$19&lt;=$C$15,(DATE(W$19,12,31)-MAX(Inputs!$C$5+1,DATE(W$19,1,1))+1)/365,0))</f>
        <v>0</v>
      </c>
      <c r="X20" s="37" t="n">
        <f aca="false">IF($C$13=1,MAX(0,MIN(DATE(X$19,12,31),$C$14)-MAX(Inputs!$C$5+1,DATE(X$19,1,1))+1)/365,IF(X$19&lt;=$C$15,(DATE(X$19,12,31)-MAX(Inputs!$C$5+1,DATE(X$19,1,1))+1)/365,0))</f>
        <v>0</v>
      </c>
      <c r="Y20" s="37" t="n">
        <f aca="false">IF($C$13=1,MAX(0,MIN(DATE(Y$19,12,31),$C$14)-MAX(Inputs!$C$5+1,DATE(Y$19,1,1))+1)/365,IF(Y$19&lt;=$C$15,(DATE(Y$19,12,31)-MAX(Inputs!$C$5+1,DATE(Y$19,1,1))+1)/365,0))</f>
        <v>0</v>
      </c>
      <c r="Z20" s="37" t="n">
        <f aca="false">IF($C$13=1,MAX(0,MIN(DATE(Z$19,12,31),$C$14)-MAX(Inputs!$C$5+1,DATE(Z$19,1,1))+1)/365,IF(Z$19&lt;=$C$15,(DATE(Z$19,12,31)-MAX(Inputs!$C$5+1,DATE(Z$19,1,1))+1)/365,0))</f>
        <v>0</v>
      </c>
      <c r="AA20" s="37" t="n">
        <f aca="false">IF($C$13=1,MAX(0,MIN(DATE(AA$19,12,31),$C$14)-MAX(Inputs!$C$5+1,DATE(AA$19,1,1))+1)/365,IF(AA$19&lt;=$C$15,(DATE(AA$19,12,31)-MAX(Inputs!$C$5+1,DATE(AA$19,1,1))+1)/365,0))</f>
        <v>0</v>
      </c>
      <c r="AB20" s="37" t="n">
        <f aca="false">IF($C$13=1,MAX(0,MIN(DATE(AB$19,12,31),$C$14)-MAX(Inputs!$C$5+1,DATE(AB$19,1,1))+1)/365,IF(AB$19&lt;=$C$15,(DATE(AB$19,12,31)-MAX(Inputs!$C$5+1,DATE(AB$19,1,1))+1)/365,0))</f>
        <v>0</v>
      </c>
      <c r="AC20" s="37" t="n">
        <f aca="false">IF($C$13=1,MAX(0,MIN(DATE(AC$19,12,31),$C$14)-MAX(Inputs!$C$5+1,DATE(AC$19,1,1))+1)/365,IF(AC$19&lt;=$C$15,(DATE(AC$19,12,31)-MAX(Inputs!$C$5+1,DATE(AC$19,1,1))+1)/365,0))</f>
        <v>0</v>
      </c>
      <c r="AD20" s="37" t="n">
        <f aca="false">IF($C$13=1,MAX(0,MIN(DATE(AD$19,12,31),$C$14)-MAX(Inputs!$C$5+1,DATE(AD$19,1,1))+1)/365,IF(AD$19&lt;=$C$15,(DATE(AD$19,12,31)-MAX(Inputs!$C$5+1,DATE(AD$19,1,1))+1)/365,0))</f>
        <v>0</v>
      </c>
      <c r="AE20" s="37" t="n">
        <f aca="false">IF($C$13=1,MAX(0,MIN(DATE(AE$19,12,31),$C$14)-MAX(Inputs!$C$5+1,DATE(AE$19,1,1))+1)/365,IF(AE$19&lt;=$C$15,(DATE(AE$19,12,31)-MAX(Inputs!$C$5+1,DATE(AE$19,1,1))+1)/365,0))</f>
        <v>0</v>
      </c>
      <c r="AF20" s="37" t="n">
        <f aca="false">IF($C$13=1,MAX(0,MIN(DATE(AF$19,12,31),$C$14)-MAX(Inputs!$C$5+1,DATE(AF$19,1,1))+1)/365,IF(AF$19&lt;=$C$15,(DATE(AF$19,12,31)-MAX(Inputs!$C$5+1,DATE(AF$19,1,1))+1)/365,0))</f>
        <v>0</v>
      </c>
      <c r="AG20" s="37" t="n">
        <f aca="false">IF($C$13=1,MAX(0,MIN(DATE(AG$19,12,31),$C$14)-MAX(Inputs!$C$5+1,DATE(AG$19,1,1))+1)/365,IF(AG$19&lt;=$C$15,(DATE(AG$19,12,31)-MAX(Inputs!$C$5+1,DATE(AG$19,1,1))+1)/365,0))</f>
        <v>0</v>
      </c>
      <c r="AH20" s="37" t="n">
        <f aca="false">IF($C$13=1,MAX(0,MIN(DATE(AH$19,12,31),$C$14)-MAX(Inputs!$C$5+1,DATE(AH$19,1,1))+1)/365,IF(AH$19&lt;=$C$15,(DATE(AH$19,12,31)-MAX(Inputs!$C$5+1,DATE(AH$19,1,1))+1)/365,0))</f>
        <v>0</v>
      </c>
      <c r="AI20" s="37" t="n">
        <f aca="false">IF($C$13=1,MAX(0,MIN(DATE(AI$19,12,31),$C$14)-MAX(Inputs!$C$5+1,DATE(AI$19,1,1))+1)/365,IF(AI$19&lt;=$C$15,(DATE(AI$19,12,31)-MAX(Inputs!$C$5+1,DATE(AI$19,1,1))+1)/365,0))</f>
        <v>0</v>
      </c>
      <c r="AJ20" s="37" t="n">
        <f aca="false">IF($C$13=1,MAX(0,MIN(DATE(AJ$19,12,31),$C$14)-MAX(Inputs!$C$5+1,DATE(AJ$19,1,1))+1)/365,IF(AJ$19&lt;=$C$15,(DATE(AJ$19,12,31)-MAX(Inputs!$C$5+1,DATE(AJ$19,1,1))+1)/365,0))</f>
        <v>0</v>
      </c>
      <c r="AK20" s="37" t="n">
        <f aca="false">IF($C$13=1,MAX(0,MIN(DATE(AK$19,12,31),$C$14)-MAX(Inputs!$C$5+1,DATE(AK$19,1,1))+1)/365,IF(AK$19&lt;=$C$15,(DATE(AK$19,12,31)-MAX(Inputs!$C$5+1,DATE(AK$19,1,1))+1)/365,0))</f>
        <v>0</v>
      </c>
      <c r="AL20" s="37" t="n">
        <f aca="false">IF($C$13=1,MAX(0,MIN(DATE(AL$19,12,31),$C$14)-MAX(Inputs!$C$5+1,DATE(AL$19,1,1))+1)/365,IF(AL$19&lt;=$C$15,(DATE(AL$19,12,31)-MAX(Inputs!$C$5+1,DATE(AL$19,1,1))+1)/365,0))</f>
        <v>0</v>
      </c>
      <c r="AM20" s="37" t="n">
        <f aca="false">IF($C$13=1,MAX(0,MIN(DATE(AM$19,12,31),$C$14)-MAX(Inputs!$C$5+1,DATE(AM$19,1,1))+1)/365,IF(AM$19&lt;=$C$15,(DATE(AM$19,12,31)-MAX(Inputs!$C$5+1,DATE(AM$19,1,1))+1)/365,0))</f>
        <v>0</v>
      </c>
      <c r="AN20" s="37" t="n">
        <f aca="false">IF($C$13=1,MAX(0,MIN(DATE(AN$19,12,31),$C$14)-MAX(Inputs!$C$5+1,DATE(AN$19,1,1))+1)/365,IF(AN$19&lt;=$C$15,(DATE(AN$19,12,31)-MAX(Inputs!$C$5+1,DATE(AN$19,1,1))+1)/365,0))</f>
        <v>0</v>
      </c>
      <c r="AO20" s="37" t="n">
        <f aca="false">IF($C$13=1,MAX(0,MIN(DATE(AO$19,12,31),$C$14)-MAX(Inputs!$C$5+1,DATE(AO$19,1,1))+1)/365,IF(AO$19&lt;=$C$15,(DATE(AO$19,12,31)-MAX(Inputs!$C$5+1,DATE(AO$19,1,1))+1)/365,0))</f>
        <v>0</v>
      </c>
      <c r="AP20" s="37" t="n">
        <f aca="false">IF($C$13=1,MAX(0,MIN(DATE(AP$19,12,31),$C$14)-MAX(Inputs!$C$5+1,DATE(AP$19,1,1))+1)/365,IF(AP$19&lt;=$C$15,(DATE(AP$19,12,31)-MAX(Inputs!$C$5+1,DATE(AP$19,1,1))+1)/365,0))</f>
        <v>0</v>
      </c>
      <c r="AQ20" s="37" t="n">
        <f aca="false">IF($C$13=1,MAX(0,MIN(DATE(AQ$19,12,31),$C$14)-MAX(Inputs!$C$5+1,DATE(AQ$19,1,1))+1)/365,IF(AQ$19&lt;=$C$15,(DATE(AQ$19,12,31)-MAX(Inputs!$C$5+1,DATE(AQ$19,1,1))+1)/365,0))</f>
        <v>0</v>
      </c>
      <c r="AR20" s="37" t="n">
        <f aca="false">IF($C$13=1,MAX(0,MIN(DATE(AR$19,12,31),$C$14)-MAX(Inputs!$C$5+1,DATE(AR$19,1,1))+1)/365,IF(AR$19&lt;=$C$15,(DATE(AR$19,12,31)-MAX(Inputs!$C$5+1,DATE(AR$19,1,1))+1)/365,0))</f>
        <v>0</v>
      </c>
      <c r="AS20" s="37" t="n">
        <f aca="false">IF($C$13=1,MAX(0,MIN(DATE(AS$19,12,31),$C$14)-MAX(Inputs!$C$5+1,DATE(AS$19,1,1))+1)/365,IF(AS$19&lt;=$C$15,(DATE(AS$19,12,31)-MAX(Inputs!$C$5+1,DATE(AS$19,1,1))+1)/365,0))</f>
        <v>0</v>
      </c>
      <c r="AT20" s="37" t="n">
        <f aca="false">IF($C$13=1,MAX(0,MIN(DATE(AT$19,12,31),$C$14)-MAX(Inputs!$C$5+1,DATE(AT$19,1,1))+1)/365,IF(AT$19&lt;=$C$15,(DATE(AT$19,12,31)-MAX(Inputs!$C$5+1,DATE(AT$19,1,1))+1)/365,0))</f>
        <v>0</v>
      </c>
      <c r="AU20" s="37" t="n">
        <f aca="false">IF($C$13=1,MAX(0,MIN(DATE(AU$19,12,31),$C$14)-MAX(Inputs!$C$5+1,DATE(AU$19,1,1))+1)/365,IF(AU$19&lt;=$C$15,(DATE(AU$19,12,31)-MAX(Inputs!$C$5+1,DATE(AU$19,1,1))+1)/365,0))</f>
        <v>0</v>
      </c>
      <c r="AV20" s="37" t="n">
        <f aca="false">IF($C$13=1,MAX(0,MIN(DATE(AV$19,12,31),$C$14)-MAX(Inputs!$C$5+1,DATE(AV$19,1,1))+1)/365,IF(AV$19&lt;=$C$15,(DATE(AV$19,12,31)-MAX(Inputs!$C$5+1,DATE(AV$19,1,1))+1)/365,0))</f>
        <v>0</v>
      </c>
    </row>
    <row r="21" customFormat="false" ht="15" hidden="false" customHeight="false" outlineLevel="0" collapsed="false">
      <c r="B21" s="7" t="s">
        <v>138</v>
      </c>
      <c r="D21" s="16" t="n">
        <f aca="false">$C$5*(1+$C$6)</f>
        <v>1774.8</v>
      </c>
      <c r="E21" s="16" t="n">
        <f aca="false">D21*(1+$C$7)</f>
        <v>1836.918</v>
      </c>
      <c r="F21" s="16" t="n">
        <f aca="false">E21*(1+$C$7)</f>
        <v>1901.21013</v>
      </c>
      <c r="G21" s="16" t="n">
        <f aca="false">F21*(1+$C$7)</f>
        <v>1967.75248455</v>
      </c>
      <c r="H21" s="16" t="n">
        <f aca="false">G21*(1+$C$7)</f>
        <v>2036.62382150925</v>
      </c>
      <c r="I21" s="16" t="n">
        <f aca="false">H21*(1+$C$7)</f>
        <v>2107.90565526207</v>
      </c>
      <c r="J21" s="16" t="n">
        <f aca="false">I21*(1+$C$7)</f>
        <v>2181.68235319625</v>
      </c>
      <c r="K21" s="16" t="n">
        <f aca="false">J21*(1+$C$7)</f>
        <v>2258.04123555811</v>
      </c>
      <c r="L21" s="16" t="n">
        <f aca="false">K21*(1+$C$7)</f>
        <v>2337.07267880265</v>
      </c>
      <c r="M21" s="16" t="n">
        <f aca="false">L21*(1+$C$7)</f>
        <v>2418.87022256074</v>
      </c>
      <c r="N21" s="16" t="n">
        <f aca="false">M21*(1+$C$7)</f>
        <v>2503.53068035037</v>
      </c>
      <c r="O21" s="16" t="n">
        <f aca="false">N21*(1+$C$7)</f>
        <v>2591.15425416263</v>
      </c>
      <c r="P21" s="16" t="n">
        <f aca="false">O21*(1+$C$7)</f>
        <v>2681.84465305832</v>
      </c>
      <c r="Q21" s="16" t="n">
        <f aca="false">P21*(1+$C$7)</f>
        <v>2775.70921591536</v>
      </c>
      <c r="R21" s="16" t="n">
        <f aca="false">Q21*(1+$C$7)</f>
        <v>2872.8590384724</v>
      </c>
      <c r="S21" s="16" t="n">
        <f aca="false">R21*(1+$C$7)</f>
        <v>2973.40910481893</v>
      </c>
      <c r="T21" s="16" t="n">
        <f aca="false">S21*(1+$C$7)</f>
        <v>3077.4784234876</v>
      </c>
      <c r="U21" s="16" t="n">
        <f aca="false">T21*(1+$C$7)</f>
        <v>3185.19016830966</v>
      </c>
      <c r="V21" s="16" t="n">
        <f aca="false">U21*(1+$C$7)</f>
        <v>3296.6718242005</v>
      </c>
      <c r="W21" s="16" t="n">
        <f aca="false">V21*(1+$C$7)</f>
        <v>3412.05533804752</v>
      </c>
      <c r="X21" s="16" t="n">
        <f aca="false">W21*(1+$C$7)</f>
        <v>3531.47727487918</v>
      </c>
      <c r="Y21" s="16" t="n">
        <f aca="false">X21*(1+$C$7)</f>
        <v>3655.07897949995</v>
      </c>
      <c r="Z21" s="16" t="n">
        <f aca="false">Y21*(1+$C$7)</f>
        <v>3783.00674378245</v>
      </c>
      <c r="AA21" s="16" t="n">
        <f aca="false">Z21*(1+$C$7)</f>
        <v>3915.41197981483</v>
      </c>
      <c r="AB21" s="16" t="n">
        <f aca="false">AA21*(1+$C$7)</f>
        <v>4052.45139910835</v>
      </c>
      <c r="AC21" s="16" t="n">
        <f aca="false">AB21*(1+$C$7)</f>
        <v>4194.28719807714</v>
      </c>
      <c r="AD21" s="16" t="n">
        <f aca="false">AC21*(1+$C$7)</f>
        <v>4341.08725000984</v>
      </c>
      <c r="AE21" s="16" t="n">
        <f aca="false">AD21*(1+$C$7)</f>
        <v>4493.02530376019</v>
      </c>
      <c r="AF21" s="16" t="n">
        <f aca="false">AE21*(1+$C$7)</f>
        <v>4650.28118939179</v>
      </c>
      <c r="AG21" s="16" t="n">
        <f aca="false">AF21*(1+$C$7)</f>
        <v>4813.04103102051</v>
      </c>
      <c r="AH21" s="16" t="n">
        <f aca="false">AG21*(1+$C$7)</f>
        <v>4981.49746710622</v>
      </c>
      <c r="AI21" s="16" t="n">
        <f aca="false">AH21*(1+$C$7)</f>
        <v>5155.84987845494</v>
      </c>
      <c r="AJ21" s="16" t="n">
        <f aca="false">AI21*(1+$C$7)</f>
        <v>5336.30462420086</v>
      </c>
      <c r="AK21" s="16" t="n">
        <f aca="false">AJ21*(1+$C$7)</f>
        <v>5523.07528604789</v>
      </c>
      <c r="AL21" s="16" t="n">
        <f aca="false">AK21*(1+$C$7)</f>
        <v>5716.38292105957</v>
      </c>
      <c r="AM21" s="16" t="n">
        <f aca="false">AL21*(1+$C$7)</f>
        <v>5916.45632329665</v>
      </c>
      <c r="AN21" s="16" t="n">
        <f aca="false">AM21*(1+$C$7)</f>
        <v>6123.53229461204</v>
      </c>
      <c r="AO21" s="16" t="n">
        <f aca="false">AN21*(1+$C$7)</f>
        <v>6337.85592492346</v>
      </c>
      <c r="AP21" s="16" t="n">
        <f aca="false">AO21*(1+$C$7)</f>
        <v>6559.68088229578</v>
      </c>
      <c r="AQ21" s="16" t="n">
        <f aca="false">AP21*(1+$C$7)</f>
        <v>6789.26971317613</v>
      </c>
      <c r="AR21" s="16" t="n">
        <f aca="false">AQ21*(1+$C$7)</f>
        <v>7026.89415313729</v>
      </c>
      <c r="AS21" s="16" t="n">
        <f aca="false">AR21*(1+$C$7)</f>
        <v>7272.8354484971</v>
      </c>
      <c r="AT21" s="16" t="n">
        <f aca="false">AS21*(1+$C$7)</f>
        <v>7527.3846891945</v>
      </c>
      <c r="AU21" s="16" t="n">
        <f aca="false">AT21*(1+$C$7)</f>
        <v>7790.8431533163</v>
      </c>
      <c r="AV21" s="16" t="n">
        <f aca="false">AU21*(1+$C$7)</f>
        <v>8063.52266368237</v>
      </c>
    </row>
    <row r="22" customFormat="false" ht="15" hidden="false" customHeight="false" outlineLevel="0" collapsed="false">
      <c r="B22" s="7" t="s">
        <v>139</v>
      </c>
      <c r="D22" s="16" t="n">
        <f aca="false">D21*$C$8</f>
        <v>1125.75564</v>
      </c>
      <c r="E22" s="16" t="n">
        <f aca="false">E21*$C$8</f>
        <v>1165.1570874</v>
      </c>
      <c r="F22" s="16" t="n">
        <f aca="false">F21*$C$8</f>
        <v>1205.937585459</v>
      </c>
      <c r="G22" s="16" t="n">
        <f aca="false">G21*$C$8</f>
        <v>1248.14540095006</v>
      </c>
      <c r="H22" s="16" t="n">
        <f aca="false">H21*$C$8</f>
        <v>1291.83048998332</v>
      </c>
      <c r="I22" s="16" t="n">
        <f aca="false">I21*$C$8</f>
        <v>1337.04455713273</v>
      </c>
      <c r="J22" s="16" t="n">
        <f aca="false">J21*$C$8</f>
        <v>1383.84111663238</v>
      </c>
      <c r="K22" s="16" t="n">
        <f aca="false">K21*$C$8</f>
        <v>1432.27555571451</v>
      </c>
      <c r="L22" s="16" t="n">
        <f aca="false">L21*$C$8</f>
        <v>1482.40520016452</v>
      </c>
      <c r="M22" s="16" t="n">
        <f aca="false">M21*$C$8</f>
        <v>1534.28938217028</v>
      </c>
      <c r="N22" s="16" t="n">
        <f aca="false">N21*$C$8</f>
        <v>1587.98951054624</v>
      </c>
      <c r="O22" s="16" t="n">
        <f aca="false">O21*$C$8</f>
        <v>1643.56914341536</v>
      </c>
      <c r="P22" s="16" t="n">
        <f aca="false">P21*$C$8</f>
        <v>1701.09406343489</v>
      </c>
      <c r="Q22" s="16" t="n">
        <f aca="false">Q21*$C$8</f>
        <v>1760.63235565511</v>
      </c>
      <c r="R22" s="16" t="n">
        <f aca="false">R21*$C$8</f>
        <v>1822.25448810304</v>
      </c>
      <c r="S22" s="16" t="n">
        <f aca="false">S21*$C$8</f>
        <v>1886.03339518665</v>
      </c>
      <c r="T22" s="16" t="n">
        <f aca="false">T21*$C$8</f>
        <v>1952.04456401818</v>
      </c>
      <c r="U22" s="16" t="n">
        <f aca="false">U21*$C$8</f>
        <v>2020.36612375882</v>
      </c>
      <c r="V22" s="16" t="n">
        <f aca="false">V21*$C$8</f>
        <v>2091.07893809038</v>
      </c>
      <c r="W22" s="16" t="n">
        <f aca="false">W21*$C$8</f>
        <v>2164.26670092354</v>
      </c>
      <c r="X22" s="16" t="n">
        <f aca="false">X21*$C$8</f>
        <v>2240.01603545586</v>
      </c>
      <c r="Y22" s="16" t="n">
        <f aca="false">Y21*$C$8</f>
        <v>2318.41659669682</v>
      </c>
      <c r="Z22" s="16" t="n">
        <f aca="false">Z21*$C$8</f>
        <v>2399.56117758121</v>
      </c>
      <c r="AA22" s="16" t="n">
        <f aca="false">AA21*$C$8</f>
        <v>2483.54581879655</v>
      </c>
      <c r="AB22" s="16" t="n">
        <f aca="false">AB21*$C$8</f>
        <v>2570.46992245443</v>
      </c>
      <c r="AC22" s="16" t="n">
        <f aca="false">AC21*$C$8</f>
        <v>2660.43636974033</v>
      </c>
      <c r="AD22" s="16" t="n">
        <f aca="false">AD21*$C$8</f>
        <v>2753.55164268124</v>
      </c>
      <c r="AE22" s="16" t="n">
        <f aca="false">AE21*$C$8</f>
        <v>2849.92595017509</v>
      </c>
      <c r="AF22" s="16" t="n">
        <f aca="false">AF21*$C$8</f>
        <v>2949.67335843121</v>
      </c>
      <c r="AG22" s="16" t="n">
        <f aca="false">AG21*$C$8</f>
        <v>3052.91192597631</v>
      </c>
      <c r="AH22" s="16" t="n">
        <f aca="false">AH21*$C$8</f>
        <v>3159.76384338548</v>
      </c>
      <c r="AI22" s="16" t="n">
        <f aca="false">AI21*$C$8</f>
        <v>3270.35557790397</v>
      </c>
      <c r="AJ22" s="16" t="n">
        <f aca="false">AJ21*$C$8</f>
        <v>3384.81802313061</v>
      </c>
      <c r="AK22" s="16" t="n">
        <f aca="false">AK21*$C$8</f>
        <v>3503.28665394018</v>
      </c>
      <c r="AL22" s="16" t="n">
        <f aca="false">AL21*$C$8</f>
        <v>3625.90168682808</v>
      </c>
      <c r="AM22" s="16" t="n">
        <f aca="false">AM21*$C$8</f>
        <v>3752.80824586707</v>
      </c>
      <c r="AN22" s="16" t="n">
        <f aca="false">AN21*$C$8</f>
        <v>3884.15653447241</v>
      </c>
      <c r="AO22" s="16" t="n">
        <f aca="false">AO21*$C$8</f>
        <v>4020.10201317895</v>
      </c>
      <c r="AP22" s="16" t="n">
        <f aca="false">AP21*$C$8</f>
        <v>4160.80558364021</v>
      </c>
      <c r="AQ22" s="16" t="n">
        <f aca="false">AQ21*$C$8</f>
        <v>4306.43377906762</v>
      </c>
      <c r="AR22" s="16" t="n">
        <f aca="false">AR21*$C$8</f>
        <v>4457.15896133499</v>
      </c>
      <c r="AS22" s="16" t="n">
        <f aca="false">AS21*$C$8</f>
        <v>4613.15952498171</v>
      </c>
      <c r="AT22" s="16" t="n">
        <f aca="false">AT21*$C$8</f>
        <v>4774.62010835607</v>
      </c>
      <c r="AU22" s="16" t="n">
        <f aca="false">AU21*$C$8</f>
        <v>4941.73181214853</v>
      </c>
      <c r="AV22" s="16" t="n">
        <f aca="false">AV21*$C$8</f>
        <v>5114.69242557373</v>
      </c>
    </row>
    <row r="23" customFormat="false" ht="15" hidden="false" customHeight="false" outlineLevel="0" collapsed="false">
      <c r="B23" s="7" t="s">
        <v>140</v>
      </c>
      <c r="D23" s="16" t="n">
        <f aca="false">-D21*$C$9</f>
        <v>-208.00656</v>
      </c>
      <c r="E23" s="16" t="n">
        <f aca="false">-E21*$C$9</f>
        <v>-215.2867896</v>
      </c>
      <c r="F23" s="16" t="n">
        <f aca="false">-F21*$C$9</f>
        <v>-222.821827236</v>
      </c>
      <c r="G23" s="16" t="n">
        <f aca="false">-G21*$C$9</f>
        <v>-230.62059118926</v>
      </c>
      <c r="H23" s="16" t="n">
        <f aca="false">-H21*$C$9</f>
        <v>-238.692311880884</v>
      </c>
      <c r="I23" s="16" t="n">
        <f aca="false">-I21*$C$9</f>
        <v>-247.046542796715</v>
      </c>
      <c r="J23" s="16" t="n">
        <f aca="false">-J21*$C$9</f>
        <v>-255.6931717946</v>
      </c>
      <c r="K23" s="16" t="n">
        <f aca="false">-K21*$C$9</f>
        <v>-264.642432807411</v>
      </c>
      <c r="L23" s="16" t="n">
        <f aca="false">-L21*$C$9</f>
        <v>-273.90491795567</v>
      </c>
      <c r="M23" s="16" t="n">
        <f aca="false">-M21*$C$9</f>
        <v>-283.491590084119</v>
      </c>
      <c r="N23" s="16" t="n">
        <f aca="false">-N21*$C$9</f>
        <v>-293.413795737063</v>
      </c>
      <c r="O23" s="16" t="n">
        <f aca="false">-O21*$C$9</f>
        <v>-303.68327858786</v>
      </c>
      <c r="P23" s="16" t="n">
        <f aca="false">-P21*$C$9</f>
        <v>-314.312193338435</v>
      </c>
      <c r="Q23" s="16" t="n">
        <f aca="false">-Q21*$C$9</f>
        <v>-325.31312010528</v>
      </c>
      <c r="R23" s="16" t="n">
        <f aca="false">-R21*$C$9</f>
        <v>-336.699079308965</v>
      </c>
      <c r="S23" s="16" t="n">
        <f aca="false">-S21*$C$9</f>
        <v>-348.483547084779</v>
      </c>
      <c r="T23" s="16" t="n">
        <f aca="false">-T21*$C$9</f>
        <v>-360.680471232746</v>
      </c>
      <c r="U23" s="16" t="n">
        <f aca="false">-U21*$C$9</f>
        <v>-373.304287725892</v>
      </c>
      <c r="V23" s="16" t="n">
        <f aca="false">-V21*$C$9</f>
        <v>-386.369937796299</v>
      </c>
      <c r="W23" s="16" t="n">
        <f aca="false">-W21*$C$9</f>
        <v>-399.892885619169</v>
      </c>
      <c r="X23" s="16" t="n">
        <f aca="false">-X21*$C$9</f>
        <v>-413.88913661584</v>
      </c>
      <c r="Y23" s="16" t="n">
        <f aca="false">-Y21*$C$9</f>
        <v>-428.375256397394</v>
      </c>
      <c r="Z23" s="16" t="n">
        <f aca="false">-Z21*$C$9</f>
        <v>-443.368390371303</v>
      </c>
      <c r="AA23" s="16" t="n">
        <f aca="false">-AA21*$C$9</f>
        <v>-458.886284034298</v>
      </c>
      <c r="AB23" s="16" t="n">
        <f aca="false">-AB21*$C$9</f>
        <v>-474.947303975499</v>
      </c>
      <c r="AC23" s="16" t="n">
        <f aca="false">-AC21*$C$9</f>
        <v>-491.570459614641</v>
      </c>
      <c r="AD23" s="16" t="n">
        <f aca="false">-AD21*$C$9</f>
        <v>-508.775425701154</v>
      </c>
      <c r="AE23" s="16" t="n">
        <f aca="false">-AE21*$C$9</f>
        <v>-526.582565600694</v>
      </c>
      <c r="AF23" s="16" t="n">
        <f aca="false">-AF21*$C$9</f>
        <v>-545.012955396718</v>
      </c>
      <c r="AG23" s="16" t="n">
        <f aca="false">-AG21*$C$9</f>
        <v>-564.088408835603</v>
      </c>
      <c r="AH23" s="16" t="n">
        <f aca="false">-AH21*$C$9</f>
        <v>-583.831503144849</v>
      </c>
      <c r="AI23" s="16" t="n">
        <f aca="false">-AI21*$C$9</f>
        <v>-604.265605754919</v>
      </c>
      <c r="AJ23" s="16" t="n">
        <f aca="false">-AJ21*$C$9</f>
        <v>-625.414901956341</v>
      </c>
      <c r="AK23" s="16" t="n">
        <f aca="false">-AK21*$C$9</f>
        <v>-647.304423524813</v>
      </c>
      <c r="AL23" s="16" t="n">
        <f aca="false">-AL21*$C$9</f>
        <v>-669.960078348182</v>
      </c>
      <c r="AM23" s="16" t="n">
        <f aca="false">-AM21*$C$9</f>
        <v>-693.408681090368</v>
      </c>
      <c r="AN23" s="16" t="n">
        <f aca="false">-AN21*$C$9</f>
        <v>-717.677984928531</v>
      </c>
      <c r="AO23" s="16" t="n">
        <f aca="false">-AO21*$C$9</f>
        <v>-742.796714401029</v>
      </c>
      <c r="AP23" s="16" t="n">
        <f aca="false">-AP21*$C$9</f>
        <v>-768.794599405065</v>
      </c>
      <c r="AQ23" s="16" t="n">
        <f aca="false">-AQ21*$C$9</f>
        <v>-795.702410384242</v>
      </c>
      <c r="AR23" s="16" t="n">
        <f aca="false">-AR21*$C$9</f>
        <v>-823.551994747691</v>
      </c>
      <c r="AS23" s="16" t="n">
        <f aca="false">-AS21*$C$9</f>
        <v>-852.37631456386</v>
      </c>
      <c r="AT23" s="16" t="n">
        <f aca="false">-AT21*$C$9</f>
        <v>-882.209485573595</v>
      </c>
      <c r="AU23" s="16" t="n">
        <f aca="false">-AU21*$C$9</f>
        <v>-913.086817568671</v>
      </c>
      <c r="AV23" s="16" t="n">
        <f aca="false">-AV21*$C$9</f>
        <v>-945.044856183574</v>
      </c>
    </row>
    <row r="24" customFormat="false" ht="15" hidden="false" customHeight="false" outlineLevel="0" collapsed="false">
      <c r="B24" s="7" t="s">
        <v>141</v>
      </c>
      <c r="D24" s="16" t="n">
        <f aca="false">D22+D23</f>
        <v>917.74908</v>
      </c>
      <c r="E24" s="16" t="n">
        <f aca="false">E22+E23</f>
        <v>949.8702978</v>
      </c>
      <c r="F24" s="16" t="n">
        <f aca="false">F22+F23</f>
        <v>983.115758223</v>
      </c>
      <c r="G24" s="16" t="n">
        <f aca="false">G22+G23</f>
        <v>1017.5248097608</v>
      </c>
      <c r="H24" s="16" t="n">
        <f aca="false">H22+H23</f>
        <v>1053.13817810243</v>
      </c>
      <c r="I24" s="16" t="n">
        <f aca="false">I22+I23</f>
        <v>1089.99801433602</v>
      </c>
      <c r="J24" s="16" t="n">
        <f aca="false">J22+J23</f>
        <v>1128.14794483778</v>
      </c>
      <c r="K24" s="16" t="n">
        <f aca="false">K22+K23</f>
        <v>1167.6331229071</v>
      </c>
      <c r="L24" s="16" t="n">
        <f aca="false">L22+L23</f>
        <v>1208.50028220885</v>
      </c>
      <c r="M24" s="16" t="n">
        <f aca="false">M22+M23</f>
        <v>1250.79779208616</v>
      </c>
      <c r="N24" s="16" t="n">
        <f aca="false">N22+N23</f>
        <v>1294.57571480917</v>
      </c>
      <c r="O24" s="16" t="n">
        <f aca="false">O22+O23</f>
        <v>1339.8858648275</v>
      </c>
      <c r="P24" s="16" t="n">
        <f aca="false">P22+P23</f>
        <v>1386.78187009646</v>
      </c>
      <c r="Q24" s="16" t="n">
        <f aca="false">Q22+Q23</f>
        <v>1435.31923554983</v>
      </c>
      <c r="R24" s="16" t="n">
        <f aca="false">R22+R23</f>
        <v>1485.55540879408</v>
      </c>
      <c r="S24" s="16" t="n">
        <f aca="false">S22+S23</f>
        <v>1537.54984810187</v>
      </c>
      <c r="T24" s="16" t="n">
        <f aca="false">T22+T23</f>
        <v>1591.36409278544</v>
      </c>
      <c r="U24" s="16" t="n">
        <f aca="false">U22+U23</f>
        <v>1647.06183603293</v>
      </c>
      <c r="V24" s="16" t="n">
        <f aca="false">V22+V23</f>
        <v>1704.70900029408</v>
      </c>
      <c r="W24" s="16" t="n">
        <f aca="false">W22+W23</f>
        <v>1764.37381530437</v>
      </c>
      <c r="X24" s="16" t="n">
        <f aca="false">X22+X23</f>
        <v>1826.12689884002</v>
      </c>
      <c r="Y24" s="16" t="n">
        <f aca="false">Y22+Y23</f>
        <v>1890.04134029942</v>
      </c>
      <c r="Z24" s="16" t="n">
        <f aca="false">Z22+Z23</f>
        <v>1956.1927872099</v>
      </c>
      <c r="AA24" s="16" t="n">
        <f aca="false">AA22+AA23</f>
        <v>2024.65953476225</v>
      </c>
      <c r="AB24" s="16" t="n">
        <f aca="false">AB22+AB23</f>
        <v>2095.52261847893</v>
      </c>
      <c r="AC24" s="16" t="n">
        <f aca="false">AC22+AC23</f>
        <v>2168.86591012569</v>
      </c>
      <c r="AD24" s="16" t="n">
        <f aca="false">AD22+AD23</f>
        <v>2244.77621698009</v>
      </c>
      <c r="AE24" s="16" t="n">
        <f aca="false">AE22+AE23</f>
        <v>2323.34338457439</v>
      </c>
      <c r="AF24" s="16" t="n">
        <f aca="false">AF22+AF23</f>
        <v>2404.6604030345</v>
      </c>
      <c r="AG24" s="16" t="n">
        <f aca="false">AG22+AG23</f>
        <v>2488.8235171407</v>
      </c>
      <c r="AH24" s="16" t="n">
        <f aca="false">AH22+AH23</f>
        <v>2575.93234024063</v>
      </c>
      <c r="AI24" s="16" t="n">
        <f aca="false">AI22+AI23</f>
        <v>2666.08997214905</v>
      </c>
      <c r="AJ24" s="16" t="n">
        <f aca="false">AJ22+AJ23</f>
        <v>2759.40312117427</v>
      </c>
      <c r="AK24" s="16" t="n">
        <f aca="false">AK22+AK23</f>
        <v>2855.98223041537</v>
      </c>
      <c r="AL24" s="16" t="n">
        <f aca="false">AL22+AL23</f>
        <v>2955.9416084799</v>
      </c>
      <c r="AM24" s="16" t="n">
        <f aca="false">AM22+AM23</f>
        <v>3059.3995647767</v>
      </c>
      <c r="AN24" s="16" t="n">
        <f aca="false">AN22+AN23</f>
        <v>3166.47854954388</v>
      </c>
      <c r="AO24" s="16" t="n">
        <f aca="false">AO22+AO23</f>
        <v>3277.30529877792</v>
      </c>
      <c r="AP24" s="16" t="n">
        <f aca="false">AP22+AP23</f>
        <v>3392.01098423515</v>
      </c>
      <c r="AQ24" s="16" t="n">
        <f aca="false">AQ22+AQ23</f>
        <v>3510.73136868338</v>
      </c>
      <c r="AR24" s="16" t="n">
        <f aca="false">AR22+AR23</f>
        <v>3633.60696658729</v>
      </c>
      <c r="AS24" s="16" t="n">
        <f aca="false">AS22+AS23</f>
        <v>3760.78321041785</v>
      </c>
      <c r="AT24" s="16" t="n">
        <f aca="false">AT22+AT23</f>
        <v>3892.41062278247</v>
      </c>
      <c r="AU24" s="16" t="n">
        <f aca="false">AU22+AU23</f>
        <v>4028.64499457986</v>
      </c>
      <c r="AV24" s="16" t="n">
        <f aca="false">AV22+AV23</f>
        <v>4169.64756939016</v>
      </c>
    </row>
    <row r="25" customFormat="false" ht="15" hidden="false" customHeight="false" outlineLevel="0" collapsed="false">
      <c r="B25" s="7" t="s">
        <v>142</v>
      </c>
      <c r="D25" s="8" t="n">
        <f aca="false">IF(D$19=2026,Inputs!$C$10,Inputs!$C$11)</f>
        <v>0.348</v>
      </c>
      <c r="E25" s="8" t="n">
        <f aca="false">IF(E$19=2026,Inputs!$C$10,Inputs!$C$11)</f>
        <v>0.258</v>
      </c>
      <c r="F25" s="8" t="n">
        <f aca="false">IF(F$19=2026,Inputs!$C$10,Inputs!$C$11)</f>
        <v>0.258</v>
      </c>
      <c r="G25" s="8" t="n">
        <f aca="false">IF(G$19=2026,Inputs!$C$10,Inputs!$C$11)</f>
        <v>0.258</v>
      </c>
      <c r="H25" s="8" t="n">
        <f aca="false">IF(H$19=2026,Inputs!$C$10,Inputs!$C$11)</f>
        <v>0.258</v>
      </c>
      <c r="I25" s="8" t="n">
        <f aca="false">IF(I$19=2026,Inputs!$C$10,Inputs!$C$11)</f>
        <v>0.258</v>
      </c>
      <c r="J25" s="8" t="n">
        <f aca="false">IF(J$19=2026,Inputs!$C$10,Inputs!$C$11)</f>
        <v>0.258</v>
      </c>
      <c r="K25" s="8" t="n">
        <f aca="false">IF(K$19=2026,Inputs!$C$10,Inputs!$C$11)</f>
        <v>0.258</v>
      </c>
      <c r="L25" s="8" t="n">
        <f aca="false">IF(L$19=2026,Inputs!$C$10,Inputs!$C$11)</f>
        <v>0.258</v>
      </c>
      <c r="M25" s="8" t="n">
        <f aca="false">IF(M$19=2026,Inputs!$C$10,Inputs!$C$11)</f>
        <v>0.258</v>
      </c>
      <c r="N25" s="8" t="n">
        <f aca="false">IF(N$19=2026,Inputs!$C$10,Inputs!$C$11)</f>
        <v>0.258</v>
      </c>
      <c r="O25" s="8" t="n">
        <f aca="false">IF(O$19=2026,Inputs!$C$10,Inputs!$C$11)</f>
        <v>0.258</v>
      </c>
      <c r="P25" s="8" t="n">
        <f aca="false">IF(P$19=2026,Inputs!$C$10,Inputs!$C$11)</f>
        <v>0.258</v>
      </c>
      <c r="Q25" s="8" t="n">
        <f aca="false">IF(Q$19=2026,Inputs!$C$10,Inputs!$C$11)</f>
        <v>0.258</v>
      </c>
      <c r="R25" s="8" t="n">
        <f aca="false">IF(R$19=2026,Inputs!$C$10,Inputs!$C$11)</f>
        <v>0.258</v>
      </c>
      <c r="S25" s="8" t="n">
        <f aca="false">IF(S$19=2026,Inputs!$C$10,Inputs!$C$11)</f>
        <v>0.258</v>
      </c>
      <c r="T25" s="8" t="n">
        <f aca="false">IF(T$19=2026,Inputs!$C$10,Inputs!$C$11)</f>
        <v>0.258</v>
      </c>
      <c r="U25" s="8" t="n">
        <f aca="false">IF(U$19=2026,Inputs!$C$10,Inputs!$C$11)</f>
        <v>0.258</v>
      </c>
      <c r="V25" s="8" t="n">
        <f aca="false">IF(V$19=2026,Inputs!$C$10,Inputs!$C$11)</f>
        <v>0.258</v>
      </c>
      <c r="W25" s="8" t="n">
        <f aca="false">IF(W$19=2026,Inputs!$C$10,Inputs!$C$11)</f>
        <v>0.258</v>
      </c>
      <c r="X25" s="8" t="n">
        <f aca="false">IF(X$19=2026,Inputs!$C$10,Inputs!$C$11)</f>
        <v>0.258</v>
      </c>
      <c r="Y25" s="8" t="n">
        <f aca="false">IF(Y$19=2026,Inputs!$C$10,Inputs!$C$11)</f>
        <v>0.258</v>
      </c>
      <c r="Z25" s="8" t="n">
        <f aca="false">IF(Z$19=2026,Inputs!$C$10,Inputs!$C$11)</f>
        <v>0.258</v>
      </c>
      <c r="AA25" s="8" t="n">
        <f aca="false">IF(AA$19=2026,Inputs!$C$10,Inputs!$C$11)</f>
        <v>0.258</v>
      </c>
      <c r="AB25" s="8" t="n">
        <f aca="false">IF(AB$19=2026,Inputs!$C$10,Inputs!$C$11)</f>
        <v>0.258</v>
      </c>
      <c r="AC25" s="8" t="n">
        <f aca="false">IF(AC$19=2026,Inputs!$C$10,Inputs!$C$11)</f>
        <v>0.258</v>
      </c>
      <c r="AD25" s="8" t="n">
        <f aca="false">IF(AD$19=2026,Inputs!$C$10,Inputs!$C$11)</f>
        <v>0.258</v>
      </c>
      <c r="AE25" s="8" t="n">
        <f aca="false">IF(AE$19=2026,Inputs!$C$10,Inputs!$C$11)</f>
        <v>0.258</v>
      </c>
      <c r="AF25" s="8" t="n">
        <f aca="false">IF(AF$19=2026,Inputs!$C$10,Inputs!$C$11)</f>
        <v>0.258</v>
      </c>
      <c r="AG25" s="8" t="n">
        <f aca="false">IF(AG$19=2026,Inputs!$C$10,Inputs!$C$11)</f>
        <v>0.258</v>
      </c>
      <c r="AH25" s="8" t="n">
        <f aca="false">IF(AH$19=2026,Inputs!$C$10,Inputs!$C$11)</f>
        <v>0.258</v>
      </c>
      <c r="AI25" s="8" t="n">
        <f aca="false">IF(AI$19=2026,Inputs!$C$10,Inputs!$C$11)</f>
        <v>0.258</v>
      </c>
      <c r="AJ25" s="8" t="n">
        <f aca="false">IF(AJ$19=2026,Inputs!$C$10,Inputs!$C$11)</f>
        <v>0.258</v>
      </c>
      <c r="AK25" s="8" t="n">
        <f aca="false">IF(AK$19=2026,Inputs!$C$10,Inputs!$C$11)</f>
        <v>0.258</v>
      </c>
      <c r="AL25" s="8" t="n">
        <f aca="false">IF(AL$19=2026,Inputs!$C$10,Inputs!$C$11)</f>
        <v>0.258</v>
      </c>
      <c r="AM25" s="8" t="n">
        <f aca="false">IF(AM$19=2026,Inputs!$C$10,Inputs!$C$11)</f>
        <v>0.258</v>
      </c>
      <c r="AN25" s="8" t="n">
        <f aca="false">IF(AN$19=2026,Inputs!$C$10,Inputs!$C$11)</f>
        <v>0.258</v>
      </c>
      <c r="AO25" s="8" t="n">
        <f aca="false">IF(AO$19=2026,Inputs!$C$10,Inputs!$C$11)</f>
        <v>0.258</v>
      </c>
      <c r="AP25" s="8" t="n">
        <f aca="false">IF(AP$19=2026,Inputs!$C$10,Inputs!$C$11)</f>
        <v>0.258</v>
      </c>
      <c r="AQ25" s="8" t="n">
        <f aca="false">IF(AQ$19=2026,Inputs!$C$10,Inputs!$C$11)</f>
        <v>0.258</v>
      </c>
      <c r="AR25" s="8" t="n">
        <f aca="false">IF(AR$19=2026,Inputs!$C$10,Inputs!$C$11)</f>
        <v>0.258</v>
      </c>
      <c r="AS25" s="8" t="n">
        <f aca="false">IF(AS$19=2026,Inputs!$C$10,Inputs!$C$11)</f>
        <v>0.258</v>
      </c>
      <c r="AT25" s="8" t="n">
        <f aca="false">IF(AT$19=2026,Inputs!$C$10,Inputs!$C$11)</f>
        <v>0.258</v>
      </c>
      <c r="AU25" s="8" t="n">
        <f aca="false">IF(AU$19=2026,Inputs!$C$10,Inputs!$C$11)</f>
        <v>0.258</v>
      </c>
      <c r="AV25" s="8" t="n">
        <f aca="false">IF(AV$19=2026,Inputs!$C$10,Inputs!$C$11)</f>
        <v>0.258</v>
      </c>
    </row>
    <row r="26" customFormat="false" ht="15" hidden="false" customHeight="false" outlineLevel="0" collapsed="false">
      <c r="B26" s="7" t="s">
        <v>143</v>
      </c>
      <c r="D26" s="16" t="n">
        <f aca="false">-MAX(0,D24)*D25</f>
        <v>-319.37667984</v>
      </c>
      <c r="E26" s="16" t="n">
        <f aca="false">-MAX(0,E24)*E25</f>
        <v>-245.0665368324</v>
      </c>
      <c r="F26" s="16" t="n">
        <f aca="false">-MAX(0,F24)*F25</f>
        <v>-253.643865621534</v>
      </c>
      <c r="G26" s="16" t="n">
        <f aca="false">-MAX(0,G24)*G25</f>
        <v>-262.521400918288</v>
      </c>
      <c r="H26" s="16" t="n">
        <f aca="false">-MAX(0,H24)*H25</f>
        <v>-271.709649950428</v>
      </c>
      <c r="I26" s="16" t="n">
        <f aca="false">-MAX(0,I24)*I25</f>
        <v>-281.219487698693</v>
      </c>
      <c r="J26" s="16" t="n">
        <f aca="false">-MAX(0,J24)*J25</f>
        <v>-291.062169768147</v>
      </c>
      <c r="K26" s="16" t="n">
        <f aca="false">-MAX(0,K24)*K25</f>
        <v>-301.249345710032</v>
      </c>
      <c r="L26" s="16" t="n">
        <f aca="false">-MAX(0,L24)*L25</f>
        <v>-311.793072809883</v>
      </c>
      <c r="M26" s="16" t="n">
        <f aca="false">-MAX(0,M24)*M25</f>
        <v>-322.705830358229</v>
      </c>
      <c r="N26" s="16" t="n">
        <f aca="false">-MAX(0,N24)*N25</f>
        <v>-334.000534420767</v>
      </c>
      <c r="O26" s="16" t="n">
        <f aca="false">-MAX(0,O24)*O25</f>
        <v>-345.690553125494</v>
      </c>
      <c r="P26" s="16" t="n">
        <f aca="false">-MAX(0,P24)*P25</f>
        <v>-357.789722484886</v>
      </c>
      <c r="Q26" s="16" t="n">
        <f aca="false">-MAX(0,Q24)*Q25</f>
        <v>-370.312362771857</v>
      </c>
      <c r="R26" s="16" t="n">
        <f aca="false">-MAX(0,R24)*R25</f>
        <v>-383.273295468872</v>
      </c>
      <c r="S26" s="16" t="n">
        <f aca="false">-MAX(0,S24)*S25</f>
        <v>-396.687860810283</v>
      </c>
      <c r="T26" s="16" t="n">
        <f aca="false">-MAX(0,T24)*T25</f>
        <v>-410.571935938642</v>
      </c>
      <c r="U26" s="16" t="n">
        <f aca="false">-MAX(0,U24)*U25</f>
        <v>-424.941953696495</v>
      </c>
      <c r="V26" s="16" t="n">
        <f aca="false">-MAX(0,V24)*V25</f>
        <v>-439.814922075872</v>
      </c>
      <c r="W26" s="16" t="n">
        <f aca="false">-MAX(0,W24)*W25</f>
        <v>-455.208444348528</v>
      </c>
      <c r="X26" s="16" t="n">
        <f aca="false">-MAX(0,X24)*X25</f>
        <v>-471.140739900726</v>
      </c>
      <c r="Y26" s="16" t="n">
        <f aca="false">-MAX(0,Y24)*Y25</f>
        <v>-487.630665797251</v>
      </c>
      <c r="Z26" s="16" t="n">
        <f aca="false">-MAX(0,Z24)*Z25</f>
        <v>-504.697739100155</v>
      </c>
      <c r="AA26" s="16" t="n">
        <f aca="false">-MAX(0,AA24)*AA25</f>
        <v>-522.362159968661</v>
      </c>
      <c r="AB26" s="16" t="n">
        <f aca="false">-MAX(0,AB24)*AB25</f>
        <v>-540.644835567563</v>
      </c>
      <c r="AC26" s="16" t="n">
        <f aca="false">-MAX(0,AC24)*AC25</f>
        <v>-559.567404812428</v>
      </c>
      <c r="AD26" s="16" t="n">
        <f aca="false">-MAX(0,AD24)*AD25</f>
        <v>-579.152263980863</v>
      </c>
      <c r="AE26" s="16" t="n">
        <f aca="false">-MAX(0,AE24)*AE25</f>
        <v>-599.422593220193</v>
      </c>
      <c r="AF26" s="16" t="n">
        <f aca="false">-MAX(0,AF24)*AF25</f>
        <v>-620.4023839829</v>
      </c>
      <c r="AG26" s="16" t="n">
        <f aca="false">-MAX(0,AG24)*AG25</f>
        <v>-642.116467422302</v>
      </c>
      <c r="AH26" s="16" t="n">
        <f aca="false">-MAX(0,AH24)*AH25</f>
        <v>-664.590543782082</v>
      </c>
      <c r="AI26" s="16" t="n">
        <f aca="false">-MAX(0,AI24)*AI25</f>
        <v>-687.851212814455</v>
      </c>
      <c r="AJ26" s="16" t="n">
        <f aca="false">-MAX(0,AJ24)*AJ25</f>
        <v>-711.926005262961</v>
      </c>
      <c r="AK26" s="16" t="n">
        <f aca="false">-MAX(0,AK24)*AK25</f>
        <v>-736.843415447164</v>
      </c>
      <c r="AL26" s="16" t="n">
        <f aca="false">-MAX(0,AL24)*AL25</f>
        <v>-762.632934987815</v>
      </c>
      <c r="AM26" s="16" t="n">
        <f aca="false">-MAX(0,AM24)*AM25</f>
        <v>-789.325087712389</v>
      </c>
      <c r="AN26" s="16" t="n">
        <f aca="false">-MAX(0,AN24)*AN25</f>
        <v>-816.951465782322</v>
      </c>
      <c r="AO26" s="16" t="n">
        <f aca="false">-MAX(0,AO24)*AO25</f>
        <v>-845.544767084703</v>
      </c>
      <c r="AP26" s="16" t="n">
        <f aca="false">-MAX(0,AP24)*AP25</f>
        <v>-875.138833932668</v>
      </c>
      <c r="AQ26" s="16" t="n">
        <f aca="false">-MAX(0,AQ24)*AQ25</f>
        <v>-905.768693120311</v>
      </c>
      <c r="AR26" s="16" t="n">
        <f aca="false">-MAX(0,AR24)*AR25</f>
        <v>-937.470597379522</v>
      </c>
      <c r="AS26" s="16" t="n">
        <f aca="false">-MAX(0,AS24)*AS25</f>
        <v>-970.282068287805</v>
      </c>
      <c r="AT26" s="16" t="n">
        <f aca="false">-MAX(0,AT24)*AT25</f>
        <v>-1004.24194067788</v>
      </c>
      <c r="AU26" s="16" t="n">
        <f aca="false">-MAX(0,AU24)*AU25</f>
        <v>-1039.3904086016</v>
      </c>
      <c r="AV26" s="16" t="n">
        <f aca="false">-MAX(0,AV24)*AV25</f>
        <v>-1075.76907290266</v>
      </c>
    </row>
    <row r="27" customFormat="false" ht="15" hidden="false" customHeight="false" outlineLevel="0" collapsed="false">
      <c r="B27" s="7" t="s">
        <v>144</v>
      </c>
      <c r="D27" s="16" t="n">
        <f aca="false">-D21*$C$10</f>
        <v>-236.0484</v>
      </c>
      <c r="E27" s="16" t="n">
        <f aca="false">-E21*$C$10</f>
        <v>-244.310094</v>
      </c>
      <c r="F27" s="16" t="n">
        <f aca="false">-F21*$C$10</f>
        <v>-252.86094729</v>
      </c>
      <c r="G27" s="16" t="n">
        <f aca="false">-G21*$C$10</f>
        <v>-261.71108044515</v>
      </c>
      <c r="H27" s="16" t="n">
        <f aca="false">-H21*$C$10</f>
        <v>-270.87096826073</v>
      </c>
      <c r="I27" s="16" t="n">
        <f aca="false">-I21*$C$10</f>
        <v>-280.351452149856</v>
      </c>
      <c r="J27" s="16" t="n">
        <f aca="false">-J21*$C$10</f>
        <v>-290.163752975101</v>
      </c>
      <c r="K27" s="16" t="n">
        <f aca="false">-K21*$C$10</f>
        <v>-300.319484329229</v>
      </c>
      <c r="L27" s="16" t="n">
        <f aca="false">-L21*$C$10</f>
        <v>-310.830666280752</v>
      </c>
      <c r="M27" s="16" t="n">
        <f aca="false">-M21*$C$10</f>
        <v>-321.709739600579</v>
      </c>
      <c r="N27" s="16" t="n">
        <f aca="false">-N21*$C$10</f>
        <v>-332.969580486599</v>
      </c>
      <c r="O27" s="16" t="n">
        <f aca="false">-O21*$C$10</f>
        <v>-344.62351580363</v>
      </c>
      <c r="P27" s="16" t="n">
        <f aca="false">-P21*$C$10</f>
        <v>-356.685338856757</v>
      </c>
      <c r="Q27" s="16" t="n">
        <f aca="false">-Q21*$C$10</f>
        <v>-369.169325716743</v>
      </c>
      <c r="R27" s="16" t="n">
        <f aca="false">-R21*$C$10</f>
        <v>-382.090252116829</v>
      </c>
      <c r="S27" s="16" t="n">
        <f aca="false">-S21*$C$10</f>
        <v>-395.463410940918</v>
      </c>
      <c r="T27" s="16" t="n">
        <f aca="false">-T21*$C$10</f>
        <v>-409.30463032385</v>
      </c>
      <c r="U27" s="16" t="n">
        <f aca="false">-U21*$C$10</f>
        <v>-423.630292385185</v>
      </c>
      <c r="V27" s="16" t="n">
        <f aca="false">-V21*$C$10</f>
        <v>-438.457352618666</v>
      </c>
      <c r="W27" s="16" t="n">
        <f aca="false">-W21*$C$10</f>
        <v>-453.80335996032</v>
      </c>
      <c r="X27" s="16" t="n">
        <f aca="false">-X21*$C$10</f>
        <v>-469.686477558931</v>
      </c>
      <c r="Y27" s="16" t="n">
        <f aca="false">-Y21*$C$10</f>
        <v>-486.125504273493</v>
      </c>
      <c r="Z27" s="16" t="n">
        <f aca="false">-Z21*$C$10</f>
        <v>-503.139896923066</v>
      </c>
      <c r="AA27" s="16" t="n">
        <f aca="false">-AA21*$C$10</f>
        <v>-520.749793315373</v>
      </c>
      <c r="AB27" s="16" t="n">
        <f aca="false">-AB21*$C$10</f>
        <v>-538.976036081411</v>
      </c>
      <c r="AC27" s="16" t="n">
        <f aca="false">-AC21*$C$10</f>
        <v>-557.84019734426</v>
      </c>
      <c r="AD27" s="16" t="n">
        <f aca="false">-AD21*$C$10</f>
        <v>-577.364604251309</v>
      </c>
      <c r="AE27" s="16" t="n">
        <f aca="false">-AE21*$C$10</f>
        <v>-597.572365400105</v>
      </c>
      <c r="AF27" s="16" t="n">
        <f aca="false">-AF21*$C$10</f>
        <v>-618.487398189109</v>
      </c>
      <c r="AG27" s="16" t="n">
        <f aca="false">-AG21*$C$10</f>
        <v>-640.134457125727</v>
      </c>
      <c r="AH27" s="16" t="n">
        <f aca="false">-AH21*$C$10</f>
        <v>-662.539163125128</v>
      </c>
      <c r="AI27" s="16" t="n">
        <f aca="false">-AI21*$C$10</f>
        <v>-685.728033834507</v>
      </c>
      <c r="AJ27" s="16" t="n">
        <f aca="false">-AJ21*$C$10</f>
        <v>-709.728515018715</v>
      </c>
      <c r="AK27" s="16" t="n">
        <f aca="false">-AK21*$C$10</f>
        <v>-734.56901304437</v>
      </c>
      <c r="AL27" s="16" t="n">
        <f aca="false">-AL21*$C$10</f>
        <v>-760.278928500923</v>
      </c>
      <c r="AM27" s="16" t="n">
        <f aca="false">-AM21*$C$10</f>
        <v>-786.888690998455</v>
      </c>
      <c r="AN27" s="16" t="n">
        <f aca="false">-AN21*$C$10</f>
        <v>-814.429795183401</v>
      </c>
      <c r="AO27" s="16" t="n">
        <f aca="false">-AO21*$C$10</f>
        <v>-842.93483801482</v>
      </c>
      <c r="AP27" s="16" t="n">
        <f aca="false">-AP21*$C$10</f>
        <v>-872.437557345338</v>
      </c>
      <c r="AQ27" s="16" t="n">
        <f aca="false">-AQ21*$C$10</f>
        <v>-902.972871852425</v>
      </c>
      <c r="AR27" s="16" t="n">
        <f aca="false">-AR21*$C$10</f>
        <v>-934.57692236726</v>
      </c>
      <c r="AS27" s="16" t="n">
        <f aca="false">-AS21*$C$10</f>
        <v>-967.287114650114</v>
      </c>
      <c r="AT27" s="16" t="n">
        <f aca="false">-AT21*$C$10</f>
        <v>-1001.14216366287</v>
      </c>
      <c r="AU27" s="16" t="n">
        <f aca="false">-AU21*$C$10</f>
        <v>-1036.18213939107</v>
      </c>
      <c r="AV27" s="16" t="n">
        <f aca="false">-AV21*$C$10</f>
        <v>-1072.44851426976</v>
      </c>
    </row>
    <row r="28" customFormat="false" ht="15" hidden="false" customHeight="false" outlineLevel="0" collapsed="false">
      <c r="B28" s="7" t="s">
        <v>145</v>
      </c>
      <c r="D28" s="16" t="n">
        <f aca="false">-D21*$C$11</f>
        <v>-8.51904</v>
      </c>
      <c r="E28" s="16" t="n">
        <f aca="false">-E21*$C$11</f>
        <v>-8.8172064</v>
      </c>
      <c r="F28" s="16" t="n">
        <f aca="false">-F21*$C$11</f>
        <v>-9.125808624</v>
      </c>
      <c r="G28" s="16" t="n">
        <f aca="false">-G21*$C$11</f>
        <v>-9.44521192584</v>
      </c>
      <c r="H28" s="16" t="n">
        <f aca="false">-H21*$C$11</f>
        <v>-9.7757943432444</v>
      </c>
      <c r="I28" s="16" t="n">
        <f aca="false">-I21*$C$11</f>
        <v>-10.117947145258</v>
      </c>
      <c r="J28" s="16" t="n">
        <f aca="false">-J21*$C$11</f>
        <v>-10.472075295342</v>
      </c>
      <c r="K28" s="16" t="n">
        <f aca="false">-K21*$C$11</f>
        <v>-10.8385979306789</v>
      </c>
      <c r="L28" s="16" t="n">
        <f aca="false">-L21*$C$11</f>
        <v>-11.2179488582527</v>
      </c>
      <c r="M28" s="16" t="n">
        <f aca="false">-M21*$C$11</f>
        <v>-11.6105770682916</v>
      </c>
      <c r="N28" s="16" t="n">
        <f aca="false">-N21*$C$11</f>
        <v>-12.0169472656818</v>
      </c>
      <c r="O28" s="16" t="n">
        <f aca="false">-O21*$C$11</f>
        <v>-12.4375404199806</v>
      </c>
      <c r="P28" s="16" t="n">
        <f aca="false">-P21*$C$11</f>
        <v>-12.8728543346799</v>
      </c>
      <c r="Q28" s="16" t="n">
        <f aca="false">-Q21*$C$11</f>
        <v>-13.3234042363937</v>
      </c>
      <c r="R28" s="16" t="n">
        <f aca="false">-R21*$C$11</f>
        <v>-13.7897233846675</v>
      </c>
      <c r="S28" s="16" t="n">
        <f aca="false">-S21*$C$11</f>
        <v>-14.2723637031309</v>
      </c>
      <c r="T28" s="16" t="n">
        <f aca="false">-T21*$C$11</f>
        <v>-14.7718964327405</v>
      </c>
      <c r="U28" s="16" t="n">
        <f aca="false">-U21*$C$11</f>
        <v>-15.2889128078864</v>
      </c>
      <c r="V28" s="16" t="n">
        <f aca="false">-V21*$C$11</f>
        <v>-15.8240247561624</v>
      </c>
      <c r="W28" s="16" t="n">
        <f aca="false">-W21*$C$11</f>
        <v>-16.3778656226281</v>
      </c>
      <c r="X28" s="16" t="n">
        <f aca="false">-X21*$C$11</f>
        <v>-16.9510909194201</v>
      </c>
      <c r="Y28" s="16" t="n">
        <f aca="false">-Y21*$C$11</f>
        <v>-17.5443791015998</v>
      </c>
      <c r="Z28" s="16" t="n">
        <f aca="false">-Z21*$C$11</f>
        <v>-18.1584323701557</v>
      </c>
      <c r="AA28" s="16" t="n">
        <f aca="false">-AA21*$C$11</f>
        <v>-18.7939775031112</v>
      </c>
      <c r="AB28" s="16" t="n">
        <f aca="false">-AB21*$C$11</f>
        <v>-19.4517667157201</v>
      </c>
      <c r="AC28" s="16" t="n">
        <f aca="false">-AC21*$C$11</f>
        <v>-20.1325785507703</v>
      </c>
      <c r="AD28" s="16" t="n">
        <f aca="false">-AD21*$C$11</f>
        <v>-20.8372188000472</v>
      </c>
      <c r="AE28" s="16" t="n">
        <f aca="false">-AE21*$C$11</f>
        <v>-21.5665214580489</v>
      </c>
      <c r="AF28" s="16" t="n">
        <f aca="false">-AF21*$C$11</f>
        <v>-22.3213497090806</v>
      </c>
      <c r="AG28" s="16" t="n">
        <f aca="false">-AG21*$C$11</f>
        <v>-23.1025969488984</v>
      </c>
      <c r="AH28" s="16" t="n">
        <f aca="false">-AH21*$C$11</f>
        <v>-23.9111878421099</v>
      </c>
      <c r="AI28" s="16" t="n">
        <f aca="false">-AI21*$C$11</f>
        <v>-24.7480794165837</v>
      </c>
      <c r="AJ28" s="16" t="n">
        <f aca="false">-AJ21*$C$11</f>
        <v>-25.6142621961641</v>
      </c>
      <c r="AK28" s="16" t="n">
        <f aca="false">-AK21*$C$11</f>
        <v>-26.5107613730299</v>
      </c>
      <c r="AL28" s="16" t="n">
        <f aca="false">-AL21*$C$11</f>
        <v>-27.4386380210859</v>
      </c>
      <c r="AM28" s="16" t="n">
        <f aca="false">-AM21*$C$11</f>
        <v>-28.3989903518239</v>
      </c>
      <c r="AN28" s="16" t="n">
        <f aca="false">-AN21*$C$11</f>
        <v>-29.3929550141378</v>
      </c>
      <c r="AO28" s="16" t="n">
        <f aca="false">-AO21*$C$11</f>
        <v>-30.4217084396326</v>
      </c>
      <c r="AP28" s="16" t="n">
        <f aca="false">-AP21*$C$11</f>
        <v>-31.4864682350197</v>
      </c>
      <c r="AQ28" s="16" t="n">
        <f aca="false">-AQ21*$C$11</f>
        <v>-32.5884946232454</v>
      </c>
      <c r="AR28" s="16" t="n">
        <f aca="false">-AR21*$C$11</f>
        <v>-33.729091935059</v>
      </c>
      <c r="AS28" s="16" t="n">
        <f aca="false">-AS21*$C$11</f>
        <v>-34.9096101527861</v>
      </c>
      <c r="AT28" s="16" t="n">
        <f aca="false">-AT21*$C$11</f>
        <v>-36.1314465081336</v>
      </c>
      <c r="AU28" s="16" t="n">
        <f aca="false">-AU21*$C$11</f>
        <v>-37.3960471359183</v>
      </c>
      <c r="AV28" s="16" t="n">
        <f aca="false">-AV21*$C$11</f>
        <v>-38.7049087856754</v>
      </c>
    </row>
    <row r="29" customFormat="false" ht="15" hidden="false" customHeight="false" outlineLevel="0" collapsed="false">
      <c r="B29" s="12" t="s">
        <v>146</v>
      </c>
      <c r="D29" s="38" t="n">
        <f aca="false">(D22+D26+D27+D28)*D20</f>
        <v>283.214574546411</v>
      </c>
      <c r="E29" s="38" t="n">
        <f aca="false">(E22+E26+E27+E28)*E20</f>
        <v>666.9632501676</v>
      </c>
      <c r="F29" s="38" t="n">
        <f aca="false">(F22+F26+F27+F28)*F20</f>
        <v>692.198215879421</v>
      </c>
      <c r="G29" s="38" t="n">
        <f aca="false">(G22+G26+G27+G28)*G20</f>
        <v>714.467707660787</v>
      </c>
      <c r="H29" s="38" t="n">
        <f aca="false">(H22+H26+H27+H28)*H20</f>
        <v>739.474077428915</v>
      </c>
      <c r="I29" s="38" t="n">
        <f aca="false">(I22+I26+I27+I28)*I20</f>
        <v>765.355670138927</v>
      </c>
      <c r="J29" s="38" t="n">
        <f aca="false">(J22+J26+J27+J28)*J20</f>
        <v>794.313373713224</v>
      </c>
      <c r="K29" s="38" t="n">
        <f aca="false">(K22+K26+K27+K28)*K20</f>
        <v>819.868127744571</v>
      </c>
      <c r="L29" s="38" t="n">
        <f aca="false">(L22+L26+L27+L28)*L20</f>
        <v>848.563512215631</v>
      </c>
      <c r="M29" s="38" t="n">
        <f aca="false">(M22+M26+M27+M28)*M20</f>
        <v>878.263235143179</v>
      </c>
      <c r="N29" s="38" t="n">
        <f aca="false">(N22+N26+N27+N28)*N20</f>
        <v>0</v>
      </c>
      <c r="O29" s="38" t="n">
        <f aca="false">(O22+O26+O27+O28)*O20</f>
        <v>0</v>
      </c>
      <c r="P29" s="38" t="n">
        <f aca="false">(P22+P26+P27+P28)*P20</f>
        <v>0</v>
      </c>
      <c r="Q29" s="38" t="n">
        <f aca="false">(Q22+Q26+Q27+Q28)*Q20</f>
        <v>0</v>
      </c>
      <c r="R29" s="38" t="n">
        <f aca="false">(R22+R26+R27+R28)*R20</f>
        <v>0</v>
      </c>
      <c r="S29" s="38" t="n">
        <f aca="false">(S22+S26+S27+S28)*S20</f>
        <v>0</v>
      </c>
      <c r="T29" s="38" t="n">
        <f aca="false">(T22+T26+T27+T28)*T20</f>
        <v>0</v>
      </c>
      <c r="U29" s="38" t="n">
        <f aca="false">(U22+U26+U27+U28)*U20</f>
        <v>0</v>
      </c>
      <c r="V29" s="38" t="n">
        <f aca="false">(V22+V26+V27+V28)*V20</f>
        <v>0</v>
      </c>
      <c r="W29" s="38" t="n">
        <f aca="false">(W22+W26+W27+W28)*W20</f>
        <v>0</v>
      </c>
      <c r="X29" s="38" t="n">
        <f aca="false">(X22+X26+X27+X28)*X20</f>
        <v>0</v>
      </c>
      <c r="Y29" s="38" t="n">
        <f aca="false">(Y22+Y26+Y27+Y28)*Y20</f>
        <v>0</v>
      </c>
      <c r="Z29" s="38" t="n">
        <f aca="false">(Z22+Z26+Z27+Z28)*Z20</f>
        <v>0</v>
      </c>
      <c r="AA29" s="38" t="n">
        <f aca="false">(AA22+AA26+AA27+AA28)*AA20</f>
        <v>0</v>
      </c>
      <c r="AB29" s="38" t="n">
        <f aca="false">(AB22+AB26+AB27+AB28)*AB20</f>
        <v>0</v>
      </c>
      <c r="AC29" s="38" t="n">
        <f aca="false">(AC22+AC26+AC27+AC28)*AC20</f>
        <v>0</v>
      </c>
      <c r="AD29" s="38" t="n">
        <f aca="false">(AD22+AD26+AD27+AD28)*AD20</f>
        <v>0</v>
      </c>
      <c r="AE29" s="38" t="n">
        <f aca="false">(AE22+AE26+AE27+AE28)*AE20</f>
        <v>0</v>
      </c>
      <c r="AF29" s="38" t="n">
        <f aca="false">(AF22+AF26+AF27+AF28)*AF20</f>
        <v>0</v>
      </c>
      <c r="AG29" s="38" t="n">
        <f aca="false">(AG22+AG26+AG27+AG28)*AG20</f>
        <v>0</v>
      </c>
      <c r="AH29" s="38" t="n">
        <f aca="false">(AH22+AH26+AH27+AH28)*AH20</f>
        <v>0</v>
      </c>
      <c r="AI29" s="38" t="n">
        <f aca="false">(AI22+AI26+AI27+AI28)*AI20</f>
        <v>0</v>
      </c>
      <c r="AJ29" s="38" t="n">
        <f aca="false">(AJ22+AJ26+AJ27+AJ28)*AJ20</f>
        <v>0</v>
      </c>
      <c r="AK29" s="38" t="n">
        <f aca="false">(AK22+AK26+AK27+AK28)*AK20</f>
        <v>0</v>
      </c>
      <c r="AL29" s="38" t="n">
        <f aca="false">(AL22+AL26+AL27+AL28)*AL20</f>
        <v>0</v>
      </c>
      <c r="AM29" s="38" t="n">
        <f aca="false">(AM22+AM26+AM27+AM28)*AM20</f>
        <v>0</v>
      </c>
      <c r="AN29" s="38" t="n">
        <f aca="false">(AN22+AN26+AN27+AN28)*AN20</f>
        <v>0</v>
      </c>
      <c r="AO29" s="38" t="n">
        <f aca="false">(AO22+AO26+AO27+AO28)*AO20</f>
        <v>0</v>
      </c>
      <c r="AP29" s="38" t="n">
        <f aca="false">(AP22+AP26+AP27+AP28)*AP20</f>
        <v>0</v>
      </c>
      <c r="AQ29" s="38" t="n">
        <f aca="false">(AQ22+AQ26+AQ27+AQ28)*AQ20</f>
        <v>0</v>
      </c>
      <c r="AR29" s="38" t="n">
        <f aca="false">(AR22+AR26+AR27+AR28)*AR20</f>
        <v>0</v>
      </c>
      <c r="AS29" s="38" t="n">
        <f aca="false">(AS22+AS26+AS27+AS28)*AS20</f>
        <v>0</v>
      </c>
      <c r="AT29" s="38" t="n">
        <f aca="false">(AT22+AT26+AT27+AT28)*AT20</f>
        <v>0</v>
      </c>
      <c r="AU29" s="38" t="n">
        <f aca="false">(AU22+AU26+AU27+AU28)*AU20</f>
        <v>0</v>
      </c>
      <c r="AV29" s="38" t="n">
        <f aca="false">(AV22+AV26+AV27+AV28)*AV20</f>
        <v>0</v>
      </c>
    </row>
    <row r="30" customFormat="false" ht="15" hidden="false" customHeight="false" outlineLevel="0" collapsed="false">
      <c r="B30" s="7" t="s">
        <v>147</v>
      </c>
      <c r="D30" s="37" t="n">
        <f aca="false">((MAX(Inputs!$C$5+1,DATE(D$19,1,1))+DATE(D$19,12,31))/2-Inputs!$C$5)/365</f>
        <v>0.253424657534247</v>
      </c>
      <c r="E30" s="37" t="n">
        <f aca="false">((MAX(Inputs!$C$5+1,DATE(E$19,1,1))+DATE(E$19,12,31))/2-Inputs!$C$5)/365</f>
        <v>1.00547945205479</v>
      </c>
      <c r="F30" s="37" t="n">
        <f aca="false">((MAX(Inputs!$C$5+1,DATE(F$19,1,1))+DATE(F$19,12,31))/2-Inputs!$C$5)/365</f>
        <v>2.00684931506849</v>
      </c>
      <c r="G30" s="37" t="n">
        <f aca="false">((MAX(Inputs!$C$5+1,DATE(G$19,1,1))+DATE(G$19,12,31))/2-Inputs!$C$5)/365</f>
        <v>3.00821917808219</v>
      </c>
      <c r="H30" s="37" t="n">
        <f aca="false">((MAX(Inputs!$C$5+1,DATE(H$19,1,1))+DATE(H$19,12,31))/2-Inputs!$C$5)/365</f>
        <v>4.00821917808219</v>
      </c>
      <c r="I30" s="37" t="n">
        <f aca="false">((MAX(Inputs!$C$5+1,DATE(I$19,1,1))+DATE(I$19,12,31))/2-Inputs!$C$5)/365</f>
        <v>5.00821917808219</v>
      </c>
      <c r="J30" s="37" t="n">
        <f aca="false">((MAX(Inputs!$C$5+1,DATE(J$19,1,1))+DATE(J$19,12,31))/2-Inputs!$C$5)/365</f>
        <v>6.00958904109589</v>
      </c>
      <c r="K30" s="37" t="n">
        <f aca="false">((MAX(Inputs!$C$5+1,DATE(K$19,1,1))+DATE(K$19,12,31))/2-Inputs!$C$5)/365</f>
        <v>7.01095890410959</v>
      </c>
      <c r="L30" s="37" t="n">
        <f aca="false">((MAX(Inputs!$C$5+1,DATE(L$19,1,1))+DATE(L$19,12,31))/2-Inputs!$C$5)/365</f>
        <v>8.01095890410959</v>
      </c>
      <c r="M30" s="37" t="n">
        <f aca="false">((MAX(Inputs!$C$5+1,DATE(M$19,1,1))+DATE(M$19,12,31))/2-Inputs!$C$5)/365</f>
        <v>9.01095890410959</v>
      </c>
      <c r="N30" s="37" t="n">
        <f aca="false">((MAX(Inputs!$C$5+1,DATE(N$19,1,1))+DATE(N$19,12,31))/2-Inputs!$C$5)/365</f>
        <v>10.0123287671233</v>
      </c>
      <c r="O30" s="37" t="n">
        <f aca="false">((MAX(Inputs!$C$5+1,DATE(O$19,1,1))+DATE(O$19,12,31))/2-Inputs!$C$5)/365</f>
        <v>11.013698630137</v>
      </c>
      <c r="P30" s="37" t="n">
        <f aca="false">((MAX(Inputs!$C$5+1,DATE(P$19,1,1))+DATE(P$19,12,31))/2-Inputs!$C$5)/365</f>
        <v>12.013698630137</v>
      </c>
      <c r="Q30" s="37" t="n">
        <f aca="false">((MAX(Inputs!$C$5+1,DATE(Q$19,1,1))+DATE(Q$19,12,31))/2-Inputs!$C$5)/365</f>
        <v>13.013698630137</v>
      </c>
      <c r="R30" s="37" t="n">
        <f aca="false">((MAX(Inputs!$C$5+1,DATE(R$19,1,1))+DATE(R$19,12,31))/2-Inputs!$C$5)/365</f>
        <v>14.0150684931507</v>
      </c>
      <c r="S30" s="37" t="n">
        <f aca="false">((MAX(Inputs!$C$5+1,DATE(S$19,1,1))+DATE(S$19,12,31))/2-Inputs!$C$5)/365</f>
        <v>15.0164383561644</v>
      </c>
      <c r="T30" s="37" t="n">
        <f aca="false">((MAX(Inputs!$C$5+1,DATE(T$19,1,1))+DATE(T$19,12,31))/2-Inputs!$C$5)/365</f>
        <v>16.0164383561644</v>
      </c>
      <c r="U30" s="37" t="n">
        <f aca="false">((MAX(Inputs!$C$5+1,DATE(U$19,1,1))+DATE(U$19,12,31))/2-Inputs!$C$5)/365</f>
        <v>17.0164383561644</v>
      </c>
      <c r="V30" s="37" t="n">
        <f aca="false">((MAX(Inputs!$C$5+1,DATE(V$19,1,1))+DATE(V$19,12,31))/2-Inputs!$C$5)/365</f>
        <v>18.0178082191781</v>
      </c>
      <c r="W30" s="37" t="n">
        <f aca="false">((MAX(Inputs!$C$5+1,DATE(W$19,1,1))+DATE(W$19,12,31))/2-Inputs!$C$5)/365</f>
        <v>19.0191780821918</v>
      </c>
      <c r="X30" s="37" t="n">
        <f aca="false">((MAX(Inputs!$C$5+1,DATE(X$19,1,1))+DATE(X$19,12,31))/2-Inputs!$C$5)/365</f>
        <v>20.0191780821918</v>
      </c>
      <c r="Y30" s="37" t="n">
        <f aca="false">((MAX(Inputs!$C$5+1,DATE(Y$19,1,1))+DATE(Y$19,12,31))/2-Inputs!$C$5)/365</f>
        <v>21.0191780821918</v>
      </c>
      <c r="Z30" s="37" t="n">
        <f aca="false">((MAX(Inputs!$C$5+1,DATE(Z$19,1,1))+DATE(Z$19,12,31))/2-Inputs!$C$5)/365</f>
        <v>22.0205479452055</v>
      </c>
      <c r="AA30" s="37" t="n">
        <f aca="false">((MAX(Inputs!$C$5+1,DATE(AA$19,1,1))+DATE(AA$19,12,31))/2-Inputs!$C$5)/365</f>
        <v>23.0219178082192</v>
      </c>
      <c r="AB30" s="37" t="n">
        <f aca="false">((MAX(Inputs!$C$5+1,DATE(AB$19,1,1))+DATE(AB$19,12,31))/2-Inputs!$C$5)/365</f>
        <v>24.0219178082192</v>
      </c>
      <c r="AC30" s="37" t="n">
        <f aca="false">((MAX(Inputs!$C$5+1,DATE(AC$19,1,1))+DATE(AC$19,12,31))/2-Inputs!$C$5)/365</f>
        <v>25.0219178082192</v>
      </c>
      <c r="AD30" s="37" t="n">
        <f aca="false">((MAX(Inputs!$C$5+1,DATE(AD$19,1,1))+DATE(AD$19,12,31))/2-Inputs!$C$5)/365</f>
        <v>26.0232876712329</v>
      </c>
      <c r="AE30" s="37" t="n">
        <f aca="false">((MAX(Inputs!$C$5+1,DATE(AE$19,1,1))+DATE(AE$19,12,31))/2-Inputs!$C$5)/365</f>
        <v>27.0246575342466</v>
      </c>
      <c r="AF30" s="37" t="n">
        <f aca="false">((MAX(Inputs!$C$5+1,DATE(AF$19,1,1))+DATE(AF$19,12,31))/2-Inputs!$C$5)/365</f>
        <v>28.0246575342466</v>
      </c>
      <c r="AG30" s="37" t="n">
        <f aca="false">((MAX(Inputs!$C$5+1,DATE(AG$19,1,1))+DATE(AG$19,12,31))/2-Inputs!$C$5)/365</f>
        <v>29.0246575342466</v>
      </c>
      <c r="AH30" s="37" t="n">
        <f aca="false">((MAX(Inputs!$C$5+1,DATE(AH$19,1,1))+DATE(AH$19,12,31))/2-Inputs!$C$5)/365</f>
        <v>30.0260273972603</v>
      </c>
      <c r="AI30" s="37" t="n">
        <f aca="false">((MAX(Inputs!$C$5+1,DATE(AI$19,1,1))+DATE(AI$19,12,31))/2-Inputs!$C$5)/365</f>
        <v>31.027397260274</v>
      </c>
      <c r="AJ30" s="37" t="n">
        <f aca="false">((MAX(Inputs!$C$5+1,DATE(AJ$19,1,1))+DATE(AJ$19,12,31))/2-Inputs!$C$5)/365</f>
        <v>32.027397260274</v>
      </c>
      <c r="AK30" s="37" t="n">
        <f aca="false">((MAX(Inputs!$C$5+1,DATE(AK$19,1,1))+DATE(AK$19,12,31))/2-Inputs!$C$5)/365</f>
        <v>33.027397260274</v>
      </c>
      <c r="AL30" s="37" t="n">
        <f aca="false">((MAX(Inputs!$C$5+1,DATE(AL$19,1,1))+DATE(AL$19,12,31))/2-Inputs!$C$5)/365</f>
        <v>34.0287671232877</v>
      </c>
      <c r="AM30" s="37" t="n">
        <f aca="false">((MAX(Inputs!$C$5+1,DATE(AM$19,1,1))+DATE(AM$19,12,31))/2-Inputs!$C$5)/365</f>
        <v>35.0301369863014</v>
      </c>
      <c r="AN30" s="37" t="n">
        <f aca="false">((MAX(Inputs!$C$5+1,DATE(AN$19,1,1))+DATE(AN$19,12,31))/2-Inputs!$C$5)/365</f>
        <v>36.0301369863014</v>
      </c>
      <c r="AO30" s="37" t="n">
        <f aca="false">((MAX(Inputs!$C$5+1,DATE(AO$19,1,1))+DATE(AO$19,12,31))/2-Inputs!$C$5)/365</f>
        <v>37.0301369863014</v>
      </c>
      <c r="AP30" s="37" t="n">
        <f aca="false">((MAX(Inputs!$C$5+1,DATE(AP$19,1,1))+DATE(AP$19,12,31))/2-Inputs!$C$5)/365</f>
        <v>38.0315068493151</v>
      </c>
      <c r="AQ30" s="37" t="n">
        <f aca="false">((MAX(Inputs!$C$5+1,DATE(AQ$19,1,1))+DATE(AQ$19,12,31))/2-Inputs!$C$5)/365</f>
        <v>39.0328767123288</v>
      </c>
      <c r="AR30" s="37" t="n">
        <f aca="false">((MAX(Inputs!$C$5+1,DATE(AR$19,1,1))+DATE(AR$19,12,31))/2-Inputs!$C$5)/365</f>
        <v>40.0328767123288</v>
      </c>
      <c r="AS30" s="37" t="n">
        <f aca="false">((MAX(Inputs!$C$5+1,DATE(AS$19,1,1))+DATE(AS$19,12,31))/2-Inputs!$C$5)/365</f>
        <v>41.0328767123288</v>
      </c>
      <c r="AT30" s="37" t="n">
        <f aca="false">((MAX(Inputs!$C$5+1,DATE(AT$19,1,1))+DATE(AT$19,12,31))/2-Inputs!$C$5)/365</f>
        <v>42.0342465753425</v>
      </c>
      <c r="AU30" s="37" t="n">
        <f aca="false">((MAX(Inputs!$C$5+1,DATE(AU$19,1,1))+DATE(AU$19,12,31))/2-Inputs!$C$5)/365</f>
        <v>43.0356164383562</v>
      </c>
      <c r="AV30" s="37" t="n">
        <f aca="false">((MAX(Inputs!$C$5+1,DATE(AV$19,1,1))+DATE(AV$19,12,31))/2-Inputs!$C$5)/365</f>
        <v>44.0356164383562</v>
      </c>
    </row>
    <row r="31" customFormat="false" ht="15" hidden="false" customHeight="false" outlineLevel="0" collapsed="false">
      <c r="B31" s="7" t="s">
        <v>148</v>
      </c>
      <c r="D31" s="39" t="n">
        <f aca="false">1/(1+$C$12)^D30</f>
        <v>0.981839094546998</v>
      </c>
      <c r="E31" s="39" t="n">
        <f aca="false">1/(1+$C$12)^E30</f>
        <v>0.929864000846419</v>
      </c>
      <c r="F31" s="39" t="n">
        <f aca="false">1/(1+$C$12)^F30</f>
        <v>0.864904078457068</v>
      </c>
      <c r="G31" s="39" t="n">
        <f aca="false">1/(1+$C$12)^G30</f>
        <v>0.804482229929044</v>
      </c>
      <c r="H31" s="39" t="n">
        <f aca="false">1/(1+$C$12)^H30</f>
        <v>0.748355562724692</v>
      </c>
      <c r="I31" s="39" t="n">
        <f aca="false">1/(1+$C$12)^I30</f>
        <v>0.696144709511341</v>
      </c>
      <c r="J31" s="39" t="n">
        <f aca="false">1/(1+$C$12)^J30</f>
        <v>0.647512322129476</v>
      </c>
      <c r="K31" s="39" t="n">
        <f aca="false">1/(1+$C$12)^K30</f>
        <v>0.602277373627984</v>
      </c>
      <c r="L31" s="39" t="n">
        <f aca="false">1/(1+$C$12)^L30</f>
        <v>0.56025802197952</v>
      </c>
      <c r="M31" s="39" t="n">
        <f aca="false">1/(1+$C$12)^M30</f>
        <v>0.521170253004204</v>
      </c>
      <c r="N31" s="39" t="n">
        <f aca="false">1/(1+$C$12)^N30</f>
        <v>0.484761510267659</v>
      </c>
      <c r="O31" s="39" t="n">
        <f aca="false">1/(1+$C$12)^O30</f>
        <v>0.450896267548651</v>
      </c>
      <c r="P31" s="39" t="n">
        <f aca="false">1/(1+$C$12)^P30</f>
        <v>0.41943838841735</v>
      </c>
      <c r="Q31" s="39" t="n">
        <f aca="false">1/(1+$C$12)^Q30</f>
        <v>0.390175245039396</v>
      </c>
      <c r="R31" s="39" t="n">
        <f aca="false">1/(1+$C$12)^R30</f>
        <v>0.362917760490113</v>
      </c>
      <c r="S31" s="39" t="n">
        <f aca="false">1/(1+$C$12)^S30</f>
        <v>0.337564472768795</v>
      </c>
      <c r="T31" s="39" t="n">
        <f aca="false">1/(1+$C$12)^T30</f>
        <v>0.31401346304074</v>
      </c>
      <c r="U31" s="39" t="n">
        <f aca="false">1/(1+$C$12)^U30</f>
        <v>0.292105547014642</v>
      </c>
      <c r="V31" s="39" t="n">
        <f aca="false">1/(1+$C$12)^V30</f>
        <v>0.271699171839027</v>
      </c>
      <c r="W31" s="39" t="n">
        <f aca="false">1/(1+$C$12)^W30</f>
        <v>0.252718377766078</v>
      </c>
      <c r="X31" s="39" t="n">
        <f aca="false">1/(1+$C$12)^X30</f>
        <v>0.235086863038212</v>
      </c>
      <c r="Y31" s="39" t="n">
        <f aca="false">1/(1+$C$12)^Y30</f>
        <v>0.218685453989035</v>
      </c>
      <c r="Z31" s="39" t="n">
        <f aca="false">1/(1+$C$12)^Z30</f>
        <v>0.203408176767982</v>
      </c>
      <c r="AA31" s="39" t="n">
        <f aca="false">1/(1+$C$12)^AA30</f>
        <v>0.189198163944408</v>
      </c>
      <c r="AB31" s="39" t="n">
        <f aca="false">1/(1+$C$12)^AB30</f>
        <v>0.17599829204131</v>
      </c>
      <c r="AC31" s="39" t="n">
        <f aca="false">1/(1+$C$12)^AC30</f>
        <v>0.163719341433777</v>
      </c>
      <c r="AD31" s="39" t="n">
        <f aca="false">1/(1+$C$12)^AD30</f>
        <v>0.152281974567769</v>
      </c>
      <c r="AE31" s="39" t="n">
        <f aca="false">1/(1+$C$12)^AE30</f>
        <v>0.141643617517475</v>
      </c>
      <c r="AF31" s="39" t="n">
        <f aca="false">1/(1+$C$12)^AF30</f>
        <v>0.131761504667418</v>
      </c>
      <c r="AG31" s="39" t="n">
        <f aca="false">1/(1+$C$12)^AG30</f>
        <v>0.122568841551087</v>
      </c>
      <c r="AH31" s="39" t="n">
        <f aca="false">1/(1+$C$12)^AH30</f>
        <v>0.114006231935849</v>
      </c>
      <c r="AI31" s="39" t="n">
        <f aca="false">1/(1+$C$12)^AI30</f>
        <v>0.106041802759417</v>
      </c>
      <c r="AJ31" s="39" t="n">
        <f aca="false">1/(1+$C$12)^AJ30</f>
        <v>0.0986435374506203</v>
      </c>
      <c r="AK31" s="39" t="n">
        <f aca="false">1/(1+$C$12)^AK30</f>
        <v>0.0917614301866235</v>
      </c>
      <c r="AL31" s="39" t="n">
        <f aca="false">1/(1+$C$12)^AL30</f>
        <v>0.0853510138484998</v>
      </c>
      <c r="AM31" s="39" t="n">
        <f aca="false">1/(1+$C$12)^AM30</f>
        <v>0.079388426598747</v>
      </c>
      <c r="AN31" s="39" t="n">
        <f aca="false">1/(1+$C$12)^AN30</f>
        <v>0.0738496991616251</v>
      </c>
      <c r="AO31" s="39" t="n">
        <f aca="false">1/(1+$C$12)^AO30</f>
        <v>0.0686973945689536</v>
      </c>
      <c r="AP31" s="39" t="n">
        <f aca="false">1/(1+$C$12)^AP30</f>
        <v>0.063898222415297</v>
      </c>
      <c r="AQ31" s="39" t="n">
        <f aca="false">1/(1+$C$12)^AQ30</f>
        <v>0.0594343184840373</v>
      </c>
      <c r="AR31" s="39" t="n">
        <f aca="false">1/(1+$C$12)^AR30</f>
        <v>0.0552877381246859</v>
      </c>
      <c r="AS31" s="39" t="n">
        <f aca="false">1/(1+$C$12)^AS30</f>
        <v>0.0514304540694752</v>
      </c>
      <c r="AT31" s="39" t="n">
        <f aca="false">1/(1+$C$12)^AT30</f>
        <v>0.0478375433838684</v>
      </c>
      <c r="AU31" s="39" t="n">
        <f aca="false">1/(1+$C$12)^AU30</f>
        <v>0.0444956319831854</v>
      </c>
      <c r="AV31" s="39" t="n">
        <f aca="false">1/(1+$C$12)^AV30</f>
        <v>0.0413912855657539</v>
      </c>
    </row>
    <row r="32" customFormat="false" ht="15" hidden="false" customHeight="false" outlineLevel="0" collapsed="false">
      <c r="B32" s="12" t="s">
        <v>149</v>
      </c>
      <c r="D32" s="40" t="n">
        <f aca="false">D29*D31</f>
        <v>278.071141435161</v>
      </c>
      <c r="E32" s="40" t="n">
        <f aca="false">E29*E31</f>
        <v>620.185116218375</v>
      </c>
      <c r="F32" s="40" t="n">
        <f aca="false">F29*F31</f>
        <v>598.685060014817</v>
      </c>
      <c r="G32" s="40" t="n">
        <f aca="false">G29*G31</f>
        <v>574.776574671242</v>
      </c>
      <c r="H32" s="40" t="n">
        <f aca="false">H29*H31</f>
        <v>553.389539334638</v>
      </c>
      <c r="I32" s="40" t="n">
        <f aca="false">I29*I31</f>
        <v>532.798300661721</v>
      </c>
      <c r="J32" s="40" t="n">
        <f aca="false">J29*J31</f>
        <v>514.327697111548</v>
      </c>
      <c r="K32" s="40" t="n">
        <f aca="false">K29*K31</f>
        <v>493.788022699293</v>
      </c>
      <c r="L32" s="40" t="n">
        <f aca="false">L29*L31</f>
        <v>475.414514877924</v>
      </c>
      <c r="M32" s="40" t="n">
        <f aca="false">M29*M31</f>
        <v>457.724672463861</v>
      </c>
      <c r="N32" s="40" t="n">
        <f aca="false">N29*N31</f>
        <v>0</v>
      </c>
      <c r="O32" s="40" t="n">
        <f aca="false">O29*O31</f>
        <v>0</v>
      </c>
      <c r="P32" s="40" t="n">
        <f aca="false">P29*P31</f>
        <v>0</v>
      </c>
      <c r="Q32" s="40" t="n">
        <f aca="false">Q29*Q31</f>
        <v>0</v>
      </c>
      <c r="R32" s="40" t="n">
        <f aca="false">R29*R31</f>
        <v>0</v>
      </c>
      <c r="S32" s="40" t="n">
        <f aca="false">S29*S31</f>
        <v>0</v>
      </c>
      <c r="T32" s="40" t="n">
        <f aca="false">T29*T31</f>
        <v>0</v>
      </c>
      <c r="U32" s="40" t="n">
        <f aca="false">U29*U31</f>
        <v>0</v>
      </c>
      <c r="V32" s="40" t="n">
        <f aca="false">V29*V31</f>
        <v>0</v>
      </c>
      <c r="W32" s="40" t="n">
        <f aca="false">W29*W31</f>
        <v>0</v>
      </c>
      <c r="X32" s="40" t="n">
        <f aca="false">X29*X31</f>
        <v>0</v>
      </c>
      <c r="Y32" s="40" t="n">
        <f aca="false">Y29*Y31</f>
        <v>0</v>
      </c>
      <c r="Z32" s="40" t="n">
        <f aca="false">Z29*Z31</f>
        <v>0</v>
      </c>
      <c r="AA32" s="40" t="n">
        <f aca="false">AA29*AA31</f>
        <v>0</v>
      </c>
      <c r="AB32" s="40" t="n">
        <f aca="false">AB29*AB31</f>
        <v>0</v>
      </c>
      <c r="AC32" s="40" t="n">
        <f aca="false">AC29*AC31</f>
        <v>0</v>
      </c>
      <c r="AD32" s="40" t="n">
        <f aca="false">AD29*AD31</f>
        <v>0</v>
      </c>
      <c r="AE32" s="40" t="n">
        <f aca="false">AE29*AE31</f>
        <v>0</v>
      </c>
      <c r="AF32" s="40" t="n">
        <f aca="false">AF29*AF31</f>
        <v>0</v>
      </c>
      <c r="AG32" s="40" t="n">
        <f aca="false">AG29*AG31</f>
        <v>0</v>
      </c>
      <c r="AH32" s="40" t="n">
        <f aca="false">AH29*AH31</f>
        <v>0</v>
      </c>
      <c r="AI32" s="40" t="n">
        <f aca="false">AI29*AI31</f>
        <v>0</v>
      </c>
      <c r="AJ32" s="40" t="n">
        <f aca="false">AJ29*AJ31</f>
        <v>0</v>
      </c>
      <c r="AK32" s="40" t="n">
        <f aca="false">AK29*AK31</f>
        <v>0</v>
      </c>
      <c r="AL32" s="40" t="n">
        <f aca="false">AL29*AL31</f>
        <v>0</v>
      </c>
      <c r="AM32" s="40" t="n">
        <f aca="false">AM29*AM31</f>
        <v>0</v>
      </c>
      <c r="AN32" s="40" t="n">
        <f aca="false">AN29*AN31</f>
        <v>0</v>
      </c>
      <c r="AO32" s="40" t="n">
        <f aca="false">AO29*AO31</f>
        <v>0</v>
      </c>
      <c r="AP32" s="40" t="n">
        <f aca="false">AP29*AP31</f>
        <v>0</v>
      </c>
      <c r="AQ32" s="40" t="n">
        <f aca="false">AQ29*AQ31</f>
        <v>0</v>
      </c>
      <c r="AR32" s="40" t="n">
        <f aca="false">AR29*AR31</f>
        <v>0</v>
      </c>
      <c r="AS32" s="40" t="n">
        <f aca="false">AS29*AS31</f>
        <v>0</v>
      </c>
      <c r="AT32" s="40" t="n">
        <f aca="false">AT29*AT31</f>
        <v>0</v>
      </c>
      <c r="AU32" s="40" t="n">
        <f aca="false">AU29*AU31</f>
        <v>0</v>
      </c>
      <c r="AV32" s="40" t="n">
        <f aca="false">AV29*AV31</f>
        <v>0</v>
      </c>
    </row>
    <row r="33" customFormat="false" ht="15" hidden="false" customHeight="false" outlineLevel="0" collapsed="false">
      <c r="B33" s="7" t="s">
        <v>150</v>
      </c>
      <c r="D33" s="16" t="n">
        <f aca="false">IF(AND($C$13=0,D$19=$C$15),D22-D21*($C$17+$C$11)-MAX(0,D22-D21*$C$17)*Inputs!$C$11,0)</f>
        <v>0</v>
      </c>
      <c r="E33" s="16" t="n">
        <f aca="false">IF(AND($C$13=0,E$19=$C$15),E22-E21*($C$17+$C$11)-MAX(0,E22-E21*$C$17)*Inputs!$C$11,0)</f>
        <v>0</v>
      </c>
      <c r="F33" s="16" t="n">
        <f aca="false">IF(AND($C$13=0,F$19=$C$15),F22-F21*($C$17+$C$11)-MAX(0,F22-F21*$C$17)*Inputs!$C$11,0)</f>
        <v>0</v>
      </c>
      <c r="G33" s="16" t="n">
        <f aca="false">IF(AND($C$13=0,G$19=$C$15),G22-G21*($C$17+$C$11)-MAX(0,G22-G21*$C$17)*Inputs!$C$11,0)</f>
        <v>0</v>
      </c>
      <c r="H33" s="16" t="n">
        <f aca="false">IF(AND($C$13=0,H$19=$C$15),H22-H21*($C$17+$C$11)-MAX(0,H22-H21*$C$17)*Inputs!$C$11,0)</f>
        <v>0</v>
      </c>
      <c r="I33" s="16" t="n">
        <f aca="false">IF(AND($C$13=0,I$19=$C$15),I22-I21*($C$17+$C$11)-MAX(0,I22-I21*$C$17)*Inputs!$C$11,0)</f>
        <v>0</v>
      </c>
      <c r="J33" s="16" t="n">
        <f aca="false">IF(AND($C$13=0,J$19=$C$15),J22-J21*($C$17+$C$11)-MAX(0,J22-J21*$C$17)*Inputs!$C$11,0)</f>
        <v>0</v>
      </c>
      <c r="K33" s="16" t="n">
        <f aca="false">IF(AND($C$13=0,K$19=$C$15),K22-K21*($C$17+$C$11)-MAX(0,K22-K21*$C$17)*Inputs!$C$11,0)</f>
        <v>0</v>
      </c>
      <c r="L33" s="16" t="n">
        <f aca="false">IF(AND($C$13=0,L$19=$C$15),L22-L21*($C$17+$C$11)-MAX(0,L22-L21*$C$17)*Inputs!$C$11,0)</f>
        <v>0</v>
      </c>
      <c r="M33" s="16" t="n">
        <f aca="false">IF(AND($C$13=0,M$19=$C$15),M22-M21*($C$17+$C$11)-MAX(0,M22-M21*$C$17)*Inputs!$C$11,0)</f>
        <v>1019.14404219365</v>
      </c>
      <c r="N33" s="16" t="n">
        <f aca="false">IF(AND($C$13=0,N$19=$C$15),N22-N21*($C$17+$C$11)-MAX(0,N22-N21*$C$17)*Inputs!$C$11,0)</f>
        <v>0</v>
      </c>
      <c r="O33" s="16" t="n">
        <f aca="false">IF(AND($C$13=0,O$19=$C$15),O22-O21*($C$17+$C$11)-MAX(0,O22-O21*$C$17)*Inputs!$C$11,0)</f>
        <v>0</v>
      </c>
      <c r="P33" s="16" t="n">
        <f aca="false">IF(AND($C$13=0,P$19=$C$15),P22-P21*($C$17+$C$11)-MAX(0,P22-P21*$C$17)*Inputs!$C$11,0)</f>
        <v>0</v>
      </c>
      <c r="Q33" s="16" t="n">
        <f aca="false">IF(AND($C$13=0,Q$19=$C$15),Q22-Q21*($C$17+$C$11)-MAX(0,Q22-Q21*$C$17)*Inputs!$C$11,0)</f>
        <v>0</v>
      </c>
      <c r="R33" s="16" t="n">
        <f aca="false">IF(AND($C$13=0,R$19=$C$15),R22-R21*($C$17+$C$11)-MAX(0,R22-R21*$C$17)*Inputs!$C$11,0)</f>
        <v>0</v>
      </c>
      <c r="S33" s="16" t="n">
        <f aca="false">IF(AND($C$13=0,S$19=$C$15),S22-S21*($C$17+$C$11)-MAX(0,S22-S21*$C$17)*Inputs!$C$11,0)</f>
        <v>0</v>
      </c>
      <c r="T33" s="16" t="n">
        <f aca="false">IF(AND($C$13=0,T$19=$C$15),T22-T21*($C$17+$C$11)-MAX(0,T22-T21*$C$17)*Inputs!$C$11,0)</f>
        <v>0</v>
      </c>
      <c r="U33" s="16" t="n">
        <f aca="false">IF(AND($C$13=0,U$19=$C$15),U22-U21*($C$17+$C$11)-MAX(0,U22-U21*$C$17)*Inputs!$C$11,0)</f>
        <v>0</v>
      </c>
      <c r="V33" s="16" t="n">
        <f aca="false">IF(AND($C$13=0,V$19=$C$15),V22-V21*($C$17+$C$11)-MAX(0,V22-V21*$C$17)*Inputs!$C$11,0)</f>
        <v>0</v>
      </c>
      <c r="W33" s="16" t="n">
        <f aca="false">IF(AND($C$13=0,W$19=$C$15),W22-W21*($C$17+$C$11)-MAX(0,W22-W21*$C$17)*Inputs!$C$11,0)</f>
        <v>0</v>
      </c>
      <c r="X33" s="16" t="n">
        <f aca="false">IF(AND($C$13=0,X$19=$C$15),X22-X21*($C$17+$C$11)-MAX(0,X22-X21*$C$17)*Inputs!$C$11,0)</f>
        <v>0</v>
      </c>
      <c r="Y33" s="16" t="n">
        <f aca="false">IF(AND($C$13=0,Y$19=$C$15),Y22-Y21*($C$17+$C$11)-MAX(0,Y22-Y21*$C$17)*Inputs!$C$11,0)</f>
        <v>0</v>
      </c>
      <c r="Z33" s="16" t="n">
        <f aca="false">IF(AND($C$13=0,Z$19=$C$15),Z22-Z21*($C$17+$C$11)-MAX(0,Z22-Z21*$C$17)*Inputs!$C$11,0)</f>
        <v>0</v>
      </c>
      <c r="AA33" s="16" t="n">
        <f aca="false">IF(AND($C$13=0,AA$19=$C$15),AA22-AA21*($C$17+$C$11)-MAX(0,AA22-AA21*$C$17)*Inputs!$C$11,0)</f>
        <v>0</v>
      </c>
      <c r="AB33" s="16" t="n">
        <f aca="false">IF(AND($C$13=0,AB$19=$C$15),AB22-AB21*($C$17+$C$11)-MAX(0,AB22-AB21*$C$17)*Inputs!$C$11,0)</f>
        <v>0</v>
      </c>
      <c r="AC33" s="16" t="n">
        <f aca="false">IF(AND($C$13=0,AC$19=$C$15),AC22-AC21*($C$17+$C$11)-MAX(0,AC22-AC21*$C$17)*Inputs!$C$11,0)</f>
        <v>0</v>
      </c>
      <c r="AD33" s="16" t="n">
        <f aca="false">IF(AND($C$13=0,AD$19=$C$15),AD22-AD21*($C$17+$C$11)-MAX(0,AD22-AD21*$C$17)*Inputs!$C$11,0)</f>
        <v>0</v>
      </c>
      <c r="AE33" s="16" t="n">
        <f aca="false">IF(AND($C$13=0,AE$19=$C$15),AE22-AE21*($C$17+$C$11)-MAX(0,AE22-AE21*$C$17)*Inputs!$C$11,0)</f>
        <v>0</v>
      </c>
      <c r="AF33" s="16" t="n">
        <f aca="false">IF(AND($C$13=0,AF$19=$C$15),AF22-AF21*($C$17+$C$11)-MAX(0,AF22-AF21*$C$17)*Inputs!$C$11,0)</f>
        <v>0</v>
      </c>
      <c r="AG33" s="16" t="n">
        <f aca="false">IF(AND($C$13=0,AG$19=$C$15),AG22-AG21*($C$17+$C$11)-MAX(0,AG22-AG21*$C$17)*Inputs!$C$11,0)</f>
        <v>0</v>
      </c>
      <c r="AH33" s="16" t="n">
        <f aca="false">IF(AND($C$13=0,AH$19=$C$15),AH22-AH21*($C$17+$C$11)-MAX(0,AH22-AH21*$C$17)*Inputs!$C$11,0)</f>
        <v>0</v>
      </c>
      <c r="AI33" s="16" t="n">
        <f aca="false">IF(AND($C$13=0,AI$19=$C$15),AI22-AI21*($C$17+$C$11)-MAX(0,AI22-AI21*$C$17)*Inputs!$C$11,0)</f>
        <v>0</v>
      </c>
      <c r="AJ33" s="16" t="n">
        <f aca="false">IF(AND($C$13=0,AJ$19=$C$15),AJ22-AJ21*($C$17+$C$11)-MAX(0,AJ22-AJ21*$C$17)*Inputs!$C$11,0)</f>
        <v>0</v>
      </c>
      <c r="AK33" s="16" t="n">
        <f aca="false">IF(AND($C$13=0,AK$19=$C$15),AK22-AK21*($C$17+$C$11)-MAX(0,AK22-AK21*$C$17)*Inputs!$C$11,0)</f>
        <v>0</v>
      </c>
      <c r="AL33" s="16" t="n">
        <f aca="false">IF(AND($C$13=0,AL$19=$C$15),AL22-AL21*($C$17+$C$11)-MAX(0,AL22-AL21*$C$17)*Inputs!$C$11,0)</f>
        <v>0</v>
      </c>
      <c r="AM33" s="16" t="n">
        <f aca="false">IF(AND($C$13=0,AM$19=$C$15),AM22-AM21*($C$17+$C$11)-MAX(0,AM22-AM21*$C$17)*Inputs!$C$11,0)</f>
        <v>0</v>
      </c>
      <c r="AN33" s="16" t="n">
        <f aca="false">IF(AND($C$13=0,AN$19=$C$15),AN22-AN21*($C$17+$C$11)-MAX(0,AN22-AN21*$C$17)*Inputs!$C$11,0)</f>
        <v>0</v>
      </c>
      <c r="AO33" s="16" t="n">
        <f aca="false">IF(AND($C$13=0,AO$19=$C$15),AO22-AO21*($C$17+$C$11)-MAX(0,AO22-AO21*$C$17)*Inputs!$C$11,0)</f>
        <v>0</v>
      </c>
      <c r="AP33" s="16" t="n">
        <f aca="false">IF(AND($C$13=0,AP$19=$C$15),AP22-AP21*($C$17+$C$11)-MAX(0,AP22-AP21*$C$17)*Inputs!$C$11,0)</f>
        <v>0</v>
      </c>
      <c r="AQ33" s="16" t="n">
        <f aca="false">IF(AND($C$13=0,AQ$19=$C$15),AQ22-AQ21*($C$17+$C$11)-MAX(0,AQ22-AQ21*$C$17)*Inputs!$C$11,0)</f>
        <v>0</v>
      </c>
      <c r="AR33" s="16" t="n">
        <f aca="false">IF(AND($C$13=0,AR$19=$C$15),AR22-AR21*($C$17+$C$11)-MAX(0,AR22-AR21*$C$17)*Inputs!$C$11,0)</f>
        <v>0</v>
      </c>
      <c r="AS33" s="16" t="n">
        <f aca="false">IF(AND($C$13=0,AS$19=$C$15),AS22-AS21*($C$17+$C$11)-MAX(0,AS22-AS21*$C$17)*Inputs!$C$11,0)</f>
        <v>0</v>
      </c>
      <c r="AT33" s="16" t="n">
        <f aca="false">IF(AND($C$13=0,AT$19=$C$15),AT22-AT21*($C$17+$C$11)-MAX(0,AT22-AT21*$C$17)*Inputs!$C$11,0)</f>
        <v>0</v>
      </c>
      <c r="AU33" s="16" t="n">
        <f aca="false">IF(AND($C$13=0,AU$19=$C$15),AU22-AU21*($C$17+$C$11)-MAX(0,AU22-AU21*$C$17)*Inputs!$C$11,0)</f>
        <v>0</v>
      </c>
      <c r="AV33" s="16" t="n">
        <f aca="false">IF(AND($C$13=0,AV$19=$C$15),AV22-AV21*($C$17+$C$11)-MAX(0,AV22-AV21*$C$17)*Inputs!$C$11,0)</f>
        <v>0</v>
      </c>
    </row>
    <row r="34" customFormat="false" ht="15" hidden="false" customHeight="false" outlineLevel="0" collapsed="false">
      <c r="B34" s="7" t="s">
        <v>151</v>
      </c>
      <c r="D34" s="16" t="n">
        <f aca="false">D33*(1+$C$16)/($C$12-$C$16)*D31</f>
        <v>0</v>
      </c>
      <c r="E34" s="16" t="n">
        <f aca="false">E33*(1+$C$16)/($C$12-$C$16)*E31</f>
        <v>0</v>
      </c>
      <c r="F34" s="16" t="n">
        <f aca="false">F33*(1+$C$16)/($C$12-$C$16)*F31</f>
        <v>0</v>
      </c>
      <c r="G34" s="16" t="n">
        <f aca="false">G33*(1+$C$16)/($C$12-$C$16)*G31</f>
        <v>0</v>
      </c>
      <c r="H34" s="16" t="n">
        <f aca="false">H33*(1+$C$16)/($C$12-$C$16)*H31</f>
        <v>0</v>
      </c>
      <c r="I34" s="16" t="n">
        <f aca="false">I33*(1+$C$16)/($C$12-$C$16)*I31</f>
        <v>0</v>
      </c>
      <c r="J34" s="16" t="n">
        <f aca="false">J33*(1+$C$16)/($C$12-$C$16)*J31</f>
        <v>0</v>
      </c>
      <c r="K34" s="16" t="n">
        <f aca="false">K33*(1+$C$16)/($C$12-$C$16)*K31</f>
        <v>0</v>
      </c>
      <c r="L34" s="16" t="n">
        <f aca="false">L33*(1+$C$16)/($C$12-$C$16)*L31</f>
        <v>0</v>
      </c>
      <c r="M34" s="16" t="n">
        <f aca="false">M33*(1+$C$16)/($C$12-$C$16)*M31</f>
        <v>9850.37289971178</v>
      </c>
      <c r="N34" s="16" t="n">
        <f aca="false">N33*(1+$C$16)/($C$12-$C$16)*N31</f>
        <v>0</v>
      </c>
      <c r="O34" s="16" t="n">
        <f aca="false">O33*(1+$C$16)/($C$12-$C$16)*O31</f>
        <v>0</v>
      </c>
      <c r="P34" s="16" t="n">
        <f aca="false">P33*(1+$C$16)/($C$12-$C$16)*P31</f>
        <v>0</v>
      </c>
      <c r="Q34" s="16" t="n">
        <f aca="false">Q33*(1+$C$16)/($C$12-$C$16)*Q31</f>
        <v>0</v>
      </c>
      <c r="R34" s="16" t="n">
        <f aca="false">R33*(1+$C$16)/($C$12-$C$16)*R31</f>
        <v>0</v>
      </c>
      <c r="S34" s="16" t="n">
        <f aca="false">S33*(1+$C$16)/($C$12-$C$16)*S31</f>
        <v>0</v>
      </c>
      <c r="T34" s="16" t="n">
        <f aca="false">T33*(1+$C$16)/($C$12-$C$16)*T31</f>
        <v>0</v>
      </c>
      <c r="U34" s="16" t="n">
        <f aca="false">U33*(1+$C$16)/($C$12-$C$16)*U31</f>
        <v>0</v>
      </c>
      <c r="V34" s="16" t="n">
        <f aca="false">V33*(1+$C$16)/($C$12-$C$16)*V31</f>
        <v>0</v>
      </c>
      <c r="W34" s="16" t="n">
        <f aca="false">W33*(1+$C$16)/($C$12-$C$16)*W31</f>
        <v>0</v>
      </c>
      <c r="X34" s="16" t="n">
        <f aca="false">X33*(1+$C$16)/($C$12-$C$16)*X31</f>
        <v>0</v>
      </c>
      <c r="Y34" s="16" t="n">
        <f aca="false">Y33*(1+$C$16)/($C$12-$C$16)*Y31</f>
        <v>0</v>
      </c>
      <c r="Z34" s="16" t="n">
        <f aca="false">Z33*(1+$C$16)/($C$12-$C$16)*Z31</f>
        <v>0</v>
      </c>
      <c r="AA34" s="16" t="n">
        <f aca="false">AA33*(1+$C$16)/($C$12-$C$16)*AA31</f>
        <v>0</v>
      </c>
      <c r="AB34" s="16" t="n">
        <f aca="false">AB33*(1+$C$16)/($C$12-$C$16)*AB31</f>
        <v>0</v>
      </c>
      <c r="AC34" s="16" t="n">
        <f aca="false">AC33*(1+$C$16)/($C$12-$C$16)*AC31</f>
        <v>0</v>
      </c>
      <c r="AD34" s="16" t="n">
        <f aca="false">AD33*(1+$C$16)/($C$12-$C$16)*AD31</f>
        <v>0</v>
      </c>
      <c r="AE34" s="16" t="n">
        <f aca="false">AE33*(1+$C$16)/($C$12-$C$16)*AE31</f>
        <v>0</v>
      </c>
      <c r="AF34" s="16" t="n">
        <f aca="false">AF33*(1+$C$16)/($C$12-$C$16)*AF31</f>
        <v>0</v>
      </c>
      <c r="AG34" s="16" t="n">
        <f aca="false">AG33*(1+$C$16)/($C$12-$C$16)*AG31</f>
        <v>0</v>
      </c>
      <c r="AH34" s="16" t="n">
        <f aca="false">AH33*(1+$C$16)/($C$12-$C$16)*AH31</f>
        <v>0</v>
      </c>
      <c r="AI34" s="16" t="n">
        <f aca="false">AI33*(1+$C$16)/($C$12-$C$16)*AI31</f>
        <v>0</v>
      </c>
      <c r="AJ34" s="16" t="n">
        <f aca="false">AJ33*(1+$C$16)/($C$12-$C$16)*AJ31</f>
        <v>0</v>
      </c>
      <c r="AK34" s="16" t="n">
        <f aca="false">AK33*(1+$C$16)/($C$12-$C$16)*AK31</f>
        <v>0</v>
      </c>
      <c r="AL34" s="16" t="n">
        <f aca="false">AL33*(1+$C$16)/($C$12-$C$16)*AL31</f>
        <v>0</v>
      </c>
      <c r="AM34" s="16" t="n">
        <f aca="false">AM33*(1+$C$16)/($C$12-$C$16)*AM31</f>
        <v>0</v>
      </c>
      <c r="AN34" s="16" t="n">
        <f aca="false">AN33*(1+$C$16)/($C$12-$C$16)*AN31</f>
        <v>0</v>
      </c>
      <c r="AO34" s="16" t="n">
        <f aca="false">AO33*(1+$C$16)/($C$12-$C$16)*AO31</f>
        <v>0</v>
      </c>
      <c r="AP34" s="16" t="n">
        <f aca="false">AP33*(1+$C$16)/($C$12-$C$16)*AP31</f>
        <v>0</v>
      </c>
      <c r="AQ34" s="16" t="n">
        <f aca="false">AQ33*(1+$C$16)/($C$12-$C$16)*AQ31</f>
        <v>0</v>
      </c>
      <c r="AR34" s="16" t="n">
        <f aca="false">AR33*(1+$C$16)/($C$12-$C$16)*AR31</f>
        <v>0</v>
      </c>
      <c r="AS34" s="16" t="n">
        <f aca="false">AS33*(1+$C$16)/($C$12-$C$16)*AS31</f>
        <v>0</v>
      </c>
      <c r="AT34" s="16" t="n">
        <f aca="false">AT33*(1+$C$16)/($C$12-$C$16)*AT31</f>
        <v>0</v>
      </c>
      <c r="AU34" s="16" t="n">
        <f aca="false">AU33*(1+$C$16)/($C$12-$C$16)*AU31</f>
        <v>0</v>
      </c>
      <c r="AV34" s="16" t="n">
        <f aca="false">AV33*(1+$C$16)/($C$12-$C$16)*AV31</f>
        <v>0</v>
      </c>
    </row>
    <row r="36" customFormat="false" ht="15" hidden="false" customHeight="false" outlineLevel="0" collapsed="false">
      <c r="B36" s="7" t="s">
        <v>152</v>
      </c>
      <c r="C36" s="16" t="n">
        <f aca="false">SUM($D$32:$AV$32)</f>
        <v>5099.16063948858</v>
      </c>
    </row>
    <row r="37" customFormat="false" ht="15" hidden="false" customHeight="false" outlineLevel="0" collapsed="false">
      <c r="B37" s="7" t="s">
        <v>151</v>
      </c>
      <c r="C37" s="16" t="n">
        <f aca="false">SUM($D$34:$AV$34)</f>
        <v>9850.37289971178</v>
      </c>
    </row>
    <row r="38" customFormat="false" ht="15" hidden="false" customHeight="false" outlineLevel="0" collapsed="false">
      <c r="B38" s="12" t="s">
        <v>167</v>
      </c>
      <c r="C38" s="13" t="n">
        <f aca="false">C36+C37</f>
        <v>14949.5335392004</v>
      </c>
    </row>
    <row r="39" customFormat="false" ht="15" hidden="false" customHeight="false" outlineLevel="0" collapsed="false">
      <c r="B39" s="7" t="s">
        <v>154</v>
      </c>
      <c r="C39" s="10" t="n">
        <f aca="false">IF(C38=0,0,C37/C38)</f>
        <v>0.658908378236842</v>
      </c>
    </row>
    <row r="40" customFormat="false" ht="15" hidden="false" customHeight="false" outlineLevel="0" collapsed="false">
      <c r="B40" s="7" t="s">
        <v>155</v>
      </c>
      <c r="C40" s="41" t="n">
        <f aca="false">IF(D22=0,0,C38/D22)</f>
        <v>13.2795546458025</v>
      </c>
    </row>
    <row r="41" customFormat="false" ht="15" hidden="false" customHeight="false" outlineLevel="0" collapsed="false">
      <c r="B41" s="7" t="s">
        <v>156</v>
      </c>
      <c r="C41" s="16" t="n">
        <f aca="false">SUM($D$33:$AV$33)</f>
        <v>1019.14404219365</v>
      </c>
    </row>
    <row r="42" customFormat="false" ht="15" hidden="false" customHeight="false" outlineLevel="0" collapsed="false">
      <c r="B42" s="7" t="s">
        <v>157</v>
      </c>
      <c r="C42" s="37" t="n">
        <f aca="false">SUMPRODUCT(($D$19:$AV$19=$C$15)*$D$30:$AV$30)</f>
        <v>9.01095890410959</v>
      </c>
    </row>
    <row r="43" customFormat="false" ht="15" hidden="false" customHeight="false" outlineLevel="0" collapsed="false">
      <c r="B43" s="12" t="s">
        <v>158</v>
      </c>
      <c r="C43" s="12" t="str">
        <f aca="false">IF(AND($C$12&gt;$C$16,SUMPRODUCT(($D$19:$AV$19&gt;YEAR($C$14))*($C$13=1)*ABS($D$29:$AV$29))=0),"OK","REVISAR")</f>
        <v>OK</v>
      </c>
    </row>
    <row r="46" customFormat="false" ht="15" hidden="false" customHeight="false" outlineLevel="0" collapsed="false">
      <c r="B46" s="22" t="s">
        <v>34</v>
      </c>
      <c r="C46" s="22"/>
      <c r="D46" s="22"/>
      <c r="E46" s="22"/>
      <c r="F46" s="22"/>
    </row>
    <row r="47" customFormat="false" ht="15" hidden="false" customHeight="true" outlineLevel="0" collapsed="false">
      <c r="B47" s="7" t="s">
        <v>122</v>
      </c>
      <c r="C47" s="31" t="n">
        <v>633</v>
      </c>
      <c r="D47" s="33" t="s">
        <v>168</v>
      </c>
      <c r="E47" s="33"/>
      <c r="F47" s="33"/>
      <c r="G47" s="33"/>
      <c r="H47" s="33"/>
      <c r="I47" s="33"/>
      <c r="J47" s="33"/>
      <c r="K47" s="33"/>
      <c r="L47" s="33"/>
      <c r="M47" s="33"/>
      <c r="N47" s="33"/>
    </row>
    <row r="48" customFormat="false" ht="15" hidden="false" customHeight="false" outlineLevel="0" collapsed="false">
      <c r="B48" s="7" t="s">
        <v>124</v>
      </c>
      <c r="C48" s="29" t="n">
        <v>0.02</v>
      </c>
      <c r="D48" s="33"/>
      <c r="E48" s="33"/>
      <c r="F48" s="33"/>
      <c r="G48" s="33"/>
      <c r="H48" s="33"/>
      <c r="I48" s="33"/>
      <c r="J48" s="33"/>
      <c r="K48" s="33"/>
      <c r="L48" s="33"/>
      <c r="M48" s="33"/>
      <c r="N48" s="33"/>
    </row>
    <row r="49" customFormat="false" ht="15" hidden="false" customHeight="false" outlineLevel="0" collapsed="false">
      <c r="B49" s="7" t="s">
        <v>125</v>
      </c>
      <c r="C49" s="30" t="n">
        <v>0.04</v>
      </c>
      <c r="D49" s="33"/>
      <c r="E49" s="33"/>
      <c r="F49" s="33"/>
      <c r="G49" s="33"/>
      <c r="H49" s="33"/>
      <c r="I49" s="33"/>
      <c r="J49" s="33"/>
      <c r="K49" s="33"/>
      <c r="L49" s="33"/>
      <c r="M49" s="33"/>
      <c r="N49" s="33"/>
    </row>
    <row r="50" customFormat="false" ht="15" hidden="false" customHeight="false" outlineLevel="0" collapsed="false">
      <c r="B50" s="7" t="s">
        <v>126</v>
      </c>
      <c r="C50" s="29" t="n">
        <v>0.6343</v>
      </c>
      <c r="D50" s="33"/>
      <c r="E50" s="33"/>
      <c r="F50" s="33"/>
      <c r="G50" s="33"/>
      <c r="H50" s="33"/>
      <c r="I50" s="33"/>
      <c r="J50" s="33"/>
      <c r="K50" s="33"/>
      <c r="L50" s="33"/>
      <c r="M50" s="33"/>
      <c r="N50" s="33"/>
    </row>
    <row r="51" customFormat="false" ht="15" hidden="false" customHeight="false" outlineLevel="0" collapsed="false">
      <c r="B51" s="7" t="s">
        <v>127</v>
      </c>
      <c r="C51" s="29" t="n">
        <v>0.1172</v>
      </c>
      <c r="D51" s="33"/>
      <c r="E51" s="33"/>
      <c r="F51" s="33"/>
      <c r="G51" s="33"/>
      <c r="H51" s="33"/>
      <c r="I51" s="33"/>
      <c r="J51" s="33"/>
      <c r="K51" s="33"/>
      <c r="L51" s="33"/>
      <c r="M51" s="33"/>
      <c r="N51" s="33"/>
    </row>
    <row r="52" customFormat="false" ht="15" hidden="false" customHeight="false" outlineLevel="0" collapsed="false">
      <c r="B52" s="7" t="s">
        <v>128</v>
      </c>
      <c r="C52" s="29" t="n">
        <v>0.133</v>
      </c>
      <c r="D52" s="33"/>
      <c r="E52" s="33"/>
      <c r="F52" s="33"/>
      <c r="G52" s="33"/>
      <c r="H52" s="33"/>
      <c r="I52" s="33"/>
      <c r="J52" s="33"/>
      <c r="K52" s="33"/>
      <c r="L52" s="33"/>
      <c r="M52" s="33"/>
      <c r="N52" s="33"/>
    </row>
    <row r="53" customFormat="false" ht="15" hidden="false" customHeight="false" outlineLevel="0" collapsed="false">
      <c r="B53" s="7" t="s">
        <v>129</v>
      </c>
      <c r="C53" s="29" t="n">
        <v>0.0048</v>
      </c>
      <c r="D53" s="33"/>
      <c r="E53" s="33"/>
      <c r="F53" s="33"/>
      <c r="G53" s="33"/>
      <c r="H53" s="33"/>
      <c r="I53" s="33"/>
      <c r="J53" s="33"/>
      <c r="K53" s="33"/>
      <c r="L53" s="33"/>
      <c r="M53" s="33"/>
      <c r="N53" s="33"/>
    </row>
    <row r="54" customFormat="false" ht="15" hidden="false" customHeight="false" outlineLevel="0" collapsed="false">
      <c r="B54" s="7" t="s">
        <v>130</v>
      </c>
      <c r="C54" s="30" t="n">
        <v>0.095</v>
      </c>
      <c r="D54" s="33"/>
      <c r="E54" s="33"/>
      <c r="F54" s="33"/>
      <c r="G54" s="33"/>
      <c r="H54" s="33"/>
      <c r="I54" s="33"/>
      <c r="J54" s="33"/>
      <c r="K54" s="33"/>
      <c r="L54" s="33"/>
      <c r="M54" s="33"/>
      <c r="N54" s="33"/>
    </row>
    <row r="55" customFormat="false" ht="15" hidden="false" customHeight="false" outlineLevel="0" collapsed="false">
      <c r="B55" s="7" t="s">
        <v>131</v>
      </c>
      <c r="C55" s="34" t="n">
        <v>1</v>
      </c>
      <c r="D55" s="33"/>
      <c r="E55" s="33"/>
      <c r="F55" s="33"/>
      <c r="G55" s="33"/>
      <c r="H55" s="33"/>
      <c r="I55" s="33"/>
      <c r="J55" s="33"/>
      <c r="K55" s="33"/>
      <c r="L55" s="33"/>
      <c r="M55" s="33"/>
      <c r="N55" s="33"/>
    </row>
    <row r="56" customFormat="false" ht="15" hidden="false" customHeight="false" outlineLevel="0" collapsed="false">
      <c r="B56" s="7" t="s">
        <v>132</v>
      </c>
      <c r="C56" s="35" t="n">
        <v>54423</v>
      </c>
      <c r="D56" s="33"/>
      <c r="E56" s="33"/>
      <c r="F56" s="33"/>
      <c r="G56" s="33"/>
      <c r="H56" s="33"/>
      <c r="I56" s="33"/>
      <c r="J56" s="33"/>
      <c r="K56" s="33"/>
      <c r="L56" s="33"/>
      <c r="M56" s="33"/>
      <c r="N56" s="33"/>
    </row>
    <row r="57" customFormat="false" ht="15" hidden="false" customHeight="false" outlineLevel="0" collapsed="false">
      <c r="B57" s="7" t="s">
        <v>133</v>
      </c>
      <c r="C57" s="34" t="n">
        <v>0</v>
      </c>
      <c r="D57" s="33"/>
      <c r="E57" s="33"/>
      <c r="F57" s="33"/>
      <c r="G57" s="33"/>
      <c r="H57" s="33"/>
      <c r="I57" s="33"/>
      <c r="J57" s="33"/>
      <c r="K57" s="33"/>
      <c r="L57" s="33"/>
      <c r="M57" s="33"/>
      <c r="N57" s="33"/>
    </row>
    <row r="58" customFormat="false" ht="15" hidden="false" customHeight="false" outlineLevel="0" collapsed="false">
      <c r="B58" s="7" t="s">
        <v>134</v>
      </c>
      <c r="C58" s="30" t="n">
        <v>0</v>
      </c>
      <c r="D58" s="33"/>
      <c r="E58" s="33"/>
      <c r="F58" s="33"/>
      <c r="G58" s="33"/>
      <c r="H58" s="33"/>
      <c r="I58" s="33"/>
      <c r="J58" s="33"/>
      <c r="K58" s="33"/>
      <c r="L58" s="33"/>
      <c r="M58" s="33"/>
      <c r="N58" s="33"/>
    </row>
    <row r="59" customFormat="false" ht="15" hidden="false" customHeight="false" outlineLevel="0" collapsed="false">
      <c r="B59" s="7" t="s">
        <v>135</v>
      </c>
      <c r="C59" s="29" t="n">
        <v>0</v>
      </c>
      <c r="D59" s="33"/>
      <c r="E59" s="33"/>
      <c r="F59" s="33"/>
      <c r="G59" s="33"/>
      <c r="H59" s="33"/>
      <c r="I59" s="33"/>
      <c r="J59" s="33"/>
      <c r="K59" s="33"/>
      <c r="L59" s="33"/>
      <c r="M59" s="33"/>
      <c r="N59" s="33"/>
    </row>
    <row r="61" customFormat="false" ht="15" hidden="false" customHeight="false" outlineLevel="0" collapsed="false">
      <c r="B61" s="6" t="s">
        <v>136</v>
      </c>
      <c r="D61" s="36" t="n">
        <v>2026</v>
      </c>
      <c r="E61" s="36" t="n">
        <v>2027</v>
      </c>
      <c r="F61" s="36" t="n">
        <v>2028</v>
      </c>
      <c r="G61" s="36" t="n">
        <v>2029</v>
      </c>
      <c r="H61" s="36" t="n">
        <v>2030</v>
      </c>
      <c r="I61" s="36" t="n">
        <v>2031</v>
      </c>
      <c r="J61" s="36" t="n">
        <v>2032</v>
      </c>
      <c r="K61" s="36" t="n">
        <v>2033</v>
      </c>
      <c r="L61" s="36" t="n">
        <v>2034</v>
      </c>
      <c r="M61" s="36" t="n">
        <v>2035</v>
      </c>
      <c r="N61" s="36" t="n">
        <v>2036</v>
      </c>
      <c r="O61" s="36" t="n">
        <v>2037</v>
      </c>
      <c r="P61" s="36" t="n">
        <v>2038</v>
      </c>
      <c r="Q61" s="36" t="n">
        <v>2039</v>
      </c>
      <c r="R61" s="36" t="n">
        <v>2040</v>
      </c>
      <c r="S61" s="36" t="n">
        <v>2041</v>
      </c>
      <c r="T61" s="36" t="n">
        <v>2042</v>
      </c>
      <c r="U61" s="36" t="n">
        <v>2043</v>
      </c>
      <c r="V61" s="36" t="n">
        <v>2044</v>
      </c>
      <c r="W61" s="36" t="n">
        <v>2045</v>
      </c>
      <c r="X61" s="36" t="n">
        <v>2046</v>
      </c>
      <c r="Y61" s="36" t="n">
        <v>2047</v>
      </c>
      <c r="Z61" s="36" t="n">
        <v>2048</v>
      </c>
      <c r="AA61" s="36" t="n">
        <v>2049</v>
      </c>
      <c r="AB61" s="36" t="n">
        <v>2050</v>
      </c>
      <c r="AC61" s="36" t="n">
        <v>2051</v>
      </c>
      <c r="AD61" s="36" t="n">
        <v>2052</v>
      </c>
      <c r="AE61" s="36" t="n">
        <v>2053</v>
      </c>
      <c r="AF61" s="36" t="n">
        <v>2054</v>
      </c>
      <c r="AG61" s="36" t="n">
        <v>2055</v>
      </c>
      <c r="AH61" s="36" t="n">
        <v>2056</v>
      </c>
      <c r="AI61" s="36" t="n">
        <v>2057</v>
      </c>
      <c r="AJ61" s="36" t="n">
        <v>2058</v>
      </c>
      <c r="AK61" s="36" t="n">
        <v>2059</v>
      </c>
      <c r="AL61" s="36" t="n">
        <v>2060</v>
      </c>
      <c r="AM61" s="36" t="n">
        <v>2061</v>
      </c>
      <c r="AN61" s="36" t="n">
        <v>2062</v>
      </c>
      <c r="AO61" s="36" t="n">
        <v>2063</v>
      </c>
      <c r="AP61" s="36" t="n">
        <v>2064</v>
      </c>
      <c r="AQ61" s="36" t="n">
        <v>2065</v>
      </c>
      <c r="AR61" s="36" t="n">
        <v>2066</v>
      </c>
      <c r="AS61" s="36" t="n">
        <v>2067</v>
      </c>
      <c r="AT61" s="36" t="n">
        <v>2068</v>
      </c>
      <c r="AU61" s="36" t="n">
        <v>2069</v>
      </c>
      <c r="AV61" s="36" t="n">
        <v>2070</v>
      </c>
    </row>
    <row r="62" customFormat="false" ht="15" hidden="false" customHeight="false" outlineLevel="0" collapsed="false">
      <c r="B62" s="7" t="s">
        <v>137</v>
      </c>
      <c r="D62" s="37" t="n">
        <f aca="false">IF($C$55=1,MAX(0,MIN(DATE(D$61,12,31),$C$56)-MAX(Inputs!$C$5+1,DATE(D$61,1,1))+1)/365,IF(D$61&lt;=$C$57,(DATE(D$61,12,31)-MAX(Inputs!$C$5+1,DATE(D$61,1,1))+1)/365,0))</f>
        <v>0.504109589041096</v>
      </c>
      <c r="E62" s="37" t="n">
        <f aca="false">IF($C$55=1,MAX(0,MIN(DATE(E$61,12,31),$C$56)-MAX(Inputs!$C$5+1,DATE(E$61,1,1))+1)/365,IF(E$61&lt;=$C$57,(DATE(E$61,12,31)-MAX(Inputs!$C$5+1,DATE(E$61,1,1))+1)/365,0))</f>
        <v>1</v>
      </c>
      <c r="F62" s="37" t="n">
        <f aca="false">IF($C$55=1,MAX(0,MIN(DATE(F$61,12,31),$C$56)-MAX(Inputs!$C$5+1,DATE(F$61,1,1))+1)/365,IF(F$61&lt;=$C$57,(DATE(F$61,12,31)-MAX(Inputs!$C$5+1,DATE(F$61,1,1))+1)/365,0))</f>
        <v>1.0027397260274</v>
      </c>
      <c r="G62" s="37" t="n">
        <f aca="false">IF($C$55=1,MAX(0,MIN(DATE(G$61,12,31),$C$56)-MAX(Inputs!$C$5+1,DATE(G$61,1,1))+1)/365,IF(G$61&lt;=$C$57,(DATE(G$61,12,31)-MAX(Inputs!$C$5+1,DATE(G$61,1,1))+1)/365,0))</f>
        <v>1</v>
      </c>
      <c r="H62" s="37" t="n">
        <f aca="false">IF($C$55=1,MAX(0,MIN(DATE(H$61,12,31),$C$56)-MAX(Inputs!$C$5+1,DATE(H$61,1,1))+1)/365,IF(H$61&lt;=$C$57,(DATE(H$61,12,31)-MAX(Inputs!$C$5+1,DATE(H$61,1,1))+1)/365,0))</f>
        <v>1</v>
      </c>
      <c r="I62" s="37" t="n">
        <f aca="false">IF($C$55=1,MAX(0,MIN(DATE(I$61,12,31),$C$56)-MAX(Inputs!$C$5+1,DATE(I$61,1,1))+1)/365,IF(I$61&lt;=$C$57,(DATE(I$61,12,31)-MAX(Inputs!$C$5+1,DATE(I$61,1,1))+1)/365,0))</f>
        <v>1</v>
      </c>
      <c r="J62" s="37" t="n">
        <f aca="false">IF($C$55=1,MAX(0,MIN(DATE(J$61,12,31),$C$56)-MAX(Inputs!$C$5+1,DATE(J$61,1,1))+1)/365,IF(J$61&lt;=$C$57,(DATE(J$61,12,31)-MAX(Inputs!$C$5+1,DATE(J$61,1,1))+1)/365,0))</f>
        <v>1.0027397260274</v>
      </c>
      <c r="K62" s="37" t="n">
        <f aca="false">IF($C$55=1,MAX(0,MIN(DATE(K$61,12,31),$C$56)-MAX(Inputs!$C$5+1,DATE(K$61,1,1))+1)/365,IF(K$61&lt;=$C$57,(DATE(K$61,12,31)-MAX(Inputs!$C$5+1,DATE(K$61,1,1))+1)/365,0))</f>
        <v>1</v>
      </c>
      <c r="L62" s="37" t="n">
        <f aca="false">IF($C$55=1,MAX(0,MIN(DATE(L$61,12,31),$C$56)-MAX(Inputs!$C$5+1,DATE(L$61,1,1))+1)/365,IF(L$61&lt;=$C$57,(DATE(L$61,12,31)-MAX(Inputs!$C$5+1,DATE(L$61,1,1))+1)/365,0))</f>
        <v>1</v>
      </c>
      <c r="M62" s="37" t="n">
        <f aca="false">IF($C$55=1,MAX(0,MIN(DATE(M$61,12,31),$C$56)-MAX(Inputs!$C$5+1,DATE(M$61,1,1))+1)/365,IF(M$61&lt;=$C$57,(DATE(M$61,12,31)-MAX(Inputs!$C$5+1,DATE(M$61,1,1))+1)/365,0))</f>
        <v>1</v>
      </c>
      <c r="N62" s="37" t="n">
        <f aca="false">IF($C$55=1,MAX(0,MIN(DATE(N$61,12,31),$C$56)-MAX(Inputs!$C$5+1,DATE(N$61,1,1))+1)/365,IF(N$61&lt;=$C$57,(DATE(N$61,12,31)-MAX(Inputs!$C$5+1,DATE(N$61,1,1))+1)/365,0))</f>
        <v>1.0027397260274</v>
      </c>
      <c r="O62" s="37" t="n">
        <f aca="false">IF($C$55=1,MAX(0,MIN(DATE(O$61,12,31),$C$56)-MAX(Inputs!$C$5+1,DATE(O$61,1,1))+1)/365,IF(O$61&lt;=$C$57,(DATE(O$61,12,31)-MAX(Inputs!$C$5+1,DATE(O$61,1,1))+1)/365,0))</f>
        <v>1</v>
      </c>
      <c r="P62" s="37" t="n">
        <f aca="false">IF($C$55=1,MAX(0,MIN(DATE(P$61,12,31),$C$56)-MAX(Inputs!$C$5+1,DATE(P$61,1,1))+1)/365,IF(P$61&lt;=$C$57,(DATE(P$61,12,31)-MAX(Inputs!$C$5+1,DATE(P$61,1,1))+1)/365,0))</f>
        <v>1</v>
      </c>
      <c r="Q62" s="37" t="n">
        <f aca="false">IF($C$55=1,MAX(0,MIN(DATE(Q$61,12,31),$C$56)-MAX(Inputs!$C$5+1,DATE(Q$61,1,1))+1)/365,IF(Q$61&lt;=$C$57,(DATE(Q$61,12,31)-MAX(Inputs!$C$5+1,DATE(Q$61,1,1))+1)/365,0))</f>
        <v>1</v>
      </c>
      <c r="R62" s="37" t="n">
        <f aca="false">IF($C$55=1,MAX(0,MIN(DATE(R$61,12,31),$C$56)-MAX(Inputs!$C$5+1,DATE(R$61,1,1))+1)/365,IF(R$61&lt;=$C$57,(DATE(R$61,12,31)-MAX(Inputs!$C$5+1,DATE(R$61,1,1))+1)/365,0))</f>
        <v>1.0027397260274</v>
      </c>
      <c r="S62" s="37" t="n">
        <f aca="false">IF($C$55=1,MAX(0,MIN(DATE(S$61,12,31),$C$56)-MAX(Inputs!$C$5+1,DATE(S$61,1,1))+1)/365,IF(S$61&lt;=$C$57,(DATE(S$61,12,31)-MAX(Inputs!$C$5+1,DATE(S$61,1,1))+1)/365,0))</f>
        <v>1</v>
      </c>
      <c r="T62" s="37" t="n">
        <f aca="false">IF($C$55=1,MAX(0,MIN(DATE(T$61,12,31),$C$56)-MAX(Inputs!$C$5+1,DATE(T$61,1,1))+1)/365,IF(T$61&lt;=$C$57,(DATE(T$61,12,31)-MAX(Inputs!$C$5+1,DATE(T$61,1,1))+1)/365,0))</f>
        <v>1</v>
      </c>
      <c r="U62" s="37" t="n">
        <f aca="false">IF($C$55=1,MAX(0,MIN(DATE(U$61,12,31),$C$56)-MAX(Inputs!$C$5+1,DATE(U$61,1,1))+1)/365,IF(U$61&lt;=$C$57,(DATE(U$61,12,31)-MAX(Inputs!$C$5+1,DATE(U$61,1,1))+1)/365,0))</f>
        <v>1</v>
      </c>
      <c r="V62" s="37" t="n">
        <f aca="false">IF($C$55=1,MAX(0,MIN(DATE(V$61,12,31),$C$56)-MAX(Inputs!$C$5+1,DATE(V$61,1,1))+1)/365,IF(V$61&lt;=$C$57,(DATE(V$61,12,31)-MAX(Inputs!$C$5+1,DATE(V$61,1,1))+1)/365,0))</f>
        <v>1.0027397260274</v>
      </c>
      <c r="W62" s="37" t="n">
        <f aca="false">IF($C$55=1,MAX(0,MIN(DATE(W$61,12,31),$C$56)-MAX(Inputs!$C$5+1,DATE(W$61,1,1))+1)/365,IF(W$61&lt;=$C$57,(DATE(W$61,12,31)-MAX(Inputs!$C$5+1,DATE(W$61,1,1))+1)/365,0))</f>
        <v>1</v>
      </c>
      <c r="X62" s="37" t="n">
        <f aca="false">IF($C$55=1,MAX(0,MIN(DATE(X$61,12,31),$C$56)-MAX(Inputs!$C$5+1,DATE(X$61,1,1))+1)/365,IF(X$61&lt;=$C$57,(DATE(X$61,12,31)-MAX(Inputs!$C$5+1,DATE(X$61,1,1))+1)/365,0))</f>
        <v>1</v>
      </c>
      <c r="Y62" s="37" t="n">
        <f aca="false">IF($C$55=1,MAX(0,MIN(DATE(Y$61,12,31),$C$56)-MAX(Inputs!$C$5+1,DATE(Y$61,1,1))+1)/365,IF(Y$61&lt;=$C$57,(DATE(Y$61,12,31)-MAX(Inputs!$C$5+1,DATE(Y$61,1,1))+1)/365,0))</f>
        <v>1</v>
      </c>
      <c r="Z62" s="37" t="n">
        <f aca="false">IF($C$55=1,MAX(0,MIN(DATE(Z$61,12,31),$C$56)-MAX(Inputs!$C$5+1,DATE(Z$61,1,1))+1)/365,IF(Z$61&lt;=$C$57,(DATE(Z$61,12,31)-MAX(Inputs!$C$5+1,DATE(Z$61,1,1))+1)/365,0))</f>
        <v>1.0027397260274</v>
      </c>
      <c r="AA62" s="37" t="n">
        <f aca="false">IF($C$55=1,MAX(0,MIN(DATE(AA$61,12,31),$C$56)-MAX(Inputs!$C$5+1,DATE(AA$61,1,1))+1)/365,IF(AA$61&lt;=$C$57,(DATE(AA$61,12,31)-MAX(Inputs!$C$5+1,DATE(AA$61,1,1))+1)/365,0))</f>
        <v>0</v>
      </c>
      <c r="AB62" s="37" t="n">
        <f aca="false">IF($C$55=1,MAX(0,MIN(DATE(AB$61,12,31),$C$56)-MAX(Inputs!$C$5+1,DATE(AB$61,1,1))+1)/365,IF(AB$61&lt;=$C$57,(DATE(AB$61,12,31)-MAX(Inputs!$C$5+1,DATE(AB$61,1,1))+1)/365,0))</f>
        <v>0</v>
      </c>
      <c r="AC62" s="37" t="n">
        <f aca="false">IF($C$55=1,MAX(0,MIN(DATE(AC$61,12,31),$C$56)-MAX(Inputs!$C$5+1,DATE(AC$61,1,1))+1)/365,IF(AC$61&lt;=$C$57,(DATE(AC$61,12,31)-MAX(Inputs!$C$5+1,DATE(AC$61,1,1))+1)/365,0))</f>
        <v>0</v>
      </c>
      <c r="AD62" s="37" t="n">
        <f aca="false">IF($C$55=1,MAX(0,MIN(DATE(AD$61,12,31),$C$56)-MAX(Inputs!$C$5+1,DATE(AD$61,1,1))+1)/365,IF(AD$61&lt;=$C$57,(DATE(AD$61,12,31)-MAX(Inputs!$C$5+1,DATE(AD$61,1,1))+1)/365,0))</f>
        <v>0</v>
      </c>
      <c r="AE62" s="37" t="n">
        <f aca="false">IF($C$55=1,MAX(0,MIN(DATE(AE$61,12,31),$C$56)-MAX(Inputs!$C$5+1,DATE(AE$61,1,1))+1)/365,IF(AE$61&lt;=$C$57,(DATE(AE$61,12,31)-MAX(Inputs!$C$5+1,DATE(AE$61,1,1))+1)/365,0))</f>
        <v>0</v>
      </c>
      <c r="AF62" s="37" t="n">
        <f aca="false">IF($C$55=1,MAX(0,MIN(DATE(AF$61,12,31),$C$56)-MAX(Inputs!$C$5+1,DATE(AF$61,1,1))+1)/365,IF(AF$61&lt;=$C$57,(DATE(AF$61,12,31)-MAX(Inputs!$C$5+1,DATE(AF$61,1,1))+1)/365,0))</f>
        <v>0</v>
      </c>
      <c r="AG62" s="37" t="n">
        <f aca="false">IF($C$55=1,MAX(0,MIN(DATE(AG$61,12,31),$C$56)-MAX(Inputs!$C$5+1,DATE(AG$61,1,1))+1)/365,IF(AG$61&lt;=$C$57,(DATE(AG$61,12,31)-MAX(Inputs!$C$5+1,DATE(AG$61,1,1))+1)/365,0))</f>
        <v>0</v>
      </c>
      <c r="AH62" s="37" t="n">
        <f aca="false">IF($C$55=1,MAX(0,MIN(DATE(AH$61,12,31),$C$56)-MAX(Inputs!$C$5+1,DATE(AH$61,1,1))+1)/365,IF(AH$61&lt;=$C$57,(DATE(AH$61,12,31)-MAX(Inputs!$C$5+1,DATE(AH$61,1,1))+1)/365,0))</f>
        <v>0</v>
      </c>
      <c r="AI62" s="37" t="n">
        <f aca="false">IF($C$55=1,MAX(0,MIN(DATE(AI$61,12,31),$C$56)-MAX(Inputs!$C$5+1,DATE(AI$61,1,1))+1)/365,IF(AI$61&lt;=$C$57,(DATE(AI$61,12,31)-MAX(Inputs!$C$5+1,DATE(AI$61,1,1))+1)/365,0))</f>
        <v>0</v>
      </c>
      <c r="AJ62" s="37" t="n">
        <f aca="false">IF($C$55=1,MAX(0,MIN(DATE(AJ$61,12,31),$C$56)-MAX(Inputs!$C$5+1,DATE(AJ$61,1,1))+1)/365,IF(AJ$61&lt;=$C$57,(DATE(AJ$61,12,31)-MAX(Inputs!$C$5+1,DATE(AJ$61,1,1))+1)/365,0))</f>
        <v>0</v>
      </c>
      <c r="AK62" s="37" t="n">
        <f aca="false">IF($C$55=1,MAX(0,MIN(DATE(AK$61,12,31),$C$56)-MAX(Inputs!$C$5+1,DATE(AK$61,1,1))+1)/365,IF(AK$61&lt;=$C$57,(DATE(AK$61,12,31)-MAX(Inputs!$C$5+1,DATE(AK$61,1,1))+1)/365,0))</f>
        <v>0</v>
      </c>
      <c r="AL62" s="37" t="n">
        <f aca="false">IF($C$55=1,MAX(0,MIN(DATE(AL$61,12,31),$C$56)-MAX(Inputs!$C$5+1,DATE(AL$61,1,1))+1)/365,IF(AL$61&lt;=$C$57,(DATE(AL$61,12,31)-MAX(Inputs!$C$5+1,DATE(AL$61,1,1))+1)/365,0))</f>
        <v>0</v>
      </c>
      <c r="AM62" s="37" t="n">
        <f aca="false">IF($C$55=1,MAX(0,MIN(DATE(AM$61,12,31),$C$56)-MAX(Inputs!$C$5+1,DATE(AM$61,1,1))+1)/365,IF(AM$61&lt;=$C$57,(DATE(AM$61,12,31)-MAX(Inputs!$C$5+1,DATE(AM$61,1,1))+1)/365,0))</f>
        <v>0</v>
      </c>
      <c r="AN62" s="37" t="n">
        <f aca="false">IF($C$55=1,MAX(0,MIN(DATE(AN$61,12,31),$C$56)-MAX(Inputs!$C$5+1,DATE(AN$61,1,1))+1)/365,IF(AN$61&lt;=$C$57,(DATE(AN$61,12,31)-MAX(Inputs!$C$5+1,DATE(AN$61,1,1))+1)/365,0))</f>
        <v>0</v>
      </c>
      <c r="AO62" s="37" t="n">
        <f aca="false">IF($C$55=1,MAX(0,MIN(DATE(AO$61,12,31),$C$56)-MAX(Inputs!$C$5+1,DATE(AO$61,1,1))+1)/365,IF(AO$61&lt;=$C$57,(DATE(AO$61,12,31)-MAX(Inputs!$C$5+1,DATE(AO$61,1,1))+1)/365,0))</f>
        <v>0</v>
      </c>
      <c r="AP62" s="37" t="n">
        <f aca="false">IF($C$55=1,MAX(0,MIN(DATE(AP$61,12,31),$C$56)-MAX(Inputs!$C$5+1,DATE(AP$61,1,1))+1)/365,IF(AP$61&lt;=$C$57,(DATE(AP$61,12,31)-MAX(Inputs!$C$5+1,DATE(AP$61,1,1))+1)/365,0))</f>
        <v>0</v>
      </c>
      <c r="AQ62" s="37" t="n">
        <f aca="false">IF($C$55=1,MAX(0,MIN(DATE(AQ$61,12,31),$C$56)-MAX(Inputs!$C$5+1,DATE(AQ$61,1,1))+1)/365,IF(AQ$61&lt;=$C$57,(DATE(AQ$61,12,31)-MAX(Inputs!$C$5+1,DATE(AQ$61,1,1))+1)/365,0))</f>
        <v>0</v>
      </c>
      <c r="AR62" s="37" t="n">
        <f aca="false">IF($C$55=1,MAX(0,MIN(DATE(AR$61,12,31),$C$56)-MAX(Inputs!$C$5+1,DATE(AR$61,1,1))+1)/365,IF(AR$61&lt;=$C$57,(DATE(AR$61,12,31)-MAX(Inputs!$C$5+1,DATE(AR$61,1,1))+1)/365,0))</f>
        <v>0</v>
      </c>
      <c r="AS62" s="37" t="n">
        <f aca="false">IF($C$55=1,MAX(0,MIN(DATE(AS$61,12,31),$C$56)-MAX(Inputs!$C$5+1,DATE(AS$61,1,1))+1)/365,IF(AS$61&lt;=$C$57,(DATE(AS$61,12,31)-MAX(Inputs!$C$5+1,DATE(AS$61,1,1))+1)/365,0))</f>
        <v>0</v>
      </c>
      <c r="AT62" s="37" t="n">
        <f aca="false">IF($C$55=1,MAX(0,MIN(DATE(AT$61,12,31),$C$56)-MAX(Inputs!$C$5+1,DATE(AT$61,1,1))+1)/365,IF(AT$61&lt;=$C$57,(DATE(AT$61,12,31)-MAX(Inputs!$C$5+1,DATE(AT$61,1,1))+1)/365,0))</f>
        <v>0</v>
      </c>
      <c r="AU62" s="37" t="n">
        <f aca="false">IF($C$55=1,MAX(0,MIN(DATE(AU$61,12,31),$C$56)-MAX(Inputs!$C$5+1,DATE(AU$61,1,1))+1)/365,IF(AU$61&lt;=$C$57,(DATE(AU$61,12,31)-MAX(Inputs!$C$5+1,DATE(AU$61,1,1))+1)/365,0))</f>
        <v>0</v>
      </c>
      <c r="AV62" s="37" t="n">
        <f aca="false">IF($C$55=1,MAX(0,MIN(DATE(AV$61,12,31),$C$56)-MAX(Inputs!$C$5+1,DATE(AV$61,1,1))+1)/365,IF(AV$61&lt;=$C$57,(DATE(AV$61,12,31)-MAX(Inputs!$C$5+1,DATE(AV$61,1,1))+1)/365,0))</f>
        <v>0</v>
      </c>
    </row>
    <row r="63" customFormat="false" ht="15" hidden="false" customHeight="false" outlineLevel="0" collapsed="false">
      <c r="B63" s="7" t="s">
        <v>138</v>
      </c>
      <c r="D63" s="16" t="n">
        <f aca="false">$C$47*(1+$C$48)</f>
        <v>645.66</v>
      </c>
      <c r="E63" s="16" t="n">
        <f aca="false">D63*(1+$C$49)</f>
        <v>671.4864</v>
      </c>
      <c r="F63" s="16" t="n">
        <f aca="false">E63*(1+$C$49)</f>
        <v>698.345856</v>
      </c>
      <c r="G63" s="16" t="n">
        <f aca="false">F63*(1+$C$49)</f>
        <v>726.27969024</v>
      </c>
      <c r="H63" s="16" t="n">
        <f aca="false">G63*(1+$C$49)</f>
        <v>755.3308778496</v>
      </c>
      <c r="I63" s="16" t="n">
        <f aca="false">H63*(1+$C$49)</f>
        <v>785.544112963584</v>
      </c>
      <c r="J63" s="16" t="n">
        <f aca="false">I63*(1+$C$49)</f>
        <v>816.965877482127</v>
      </c>
      <c r="K63" s="16" t="n">
        <f aca="false">J63*(1+$C$49)</f>
        <v>849.644512581413</v>
      </c>
      <c r="L63" s="16" t="n">
        <f aca="false">K63*(1+$C$49)</f>
        <v>883.630293084669</v>
      </c>
      <c r="M63" s="16" t="n">
        <f aca="false">L63*(1+$C$49)</f>
        <v>918.975504808056</v>
      </c>
      <c r="N63" s="16" t="n">
        <f aca="false">M63*(1+$C$49)</f>
        <v>955.734525000378</v>
      </c>
      <c r="O63" s="16" t="n">
        <f aca="false">N63*(1+$C$49)</f>
        <v>993.963906000393</v>
      </c>
      <c r="P63" s="16" t="n">
        <f aca="false">O63*(1+$C$49)</f>
        <v>1033.72246224041</v>
      </c>
      <c r="Q63" s="16" t="n">
        <f aca="false">P63*(1+$C$49)</f>
        <v>1075.07136073003</v>
      </c>
      <c r="R63" s="16" t="n">
        <f aca="false">Q63*(1+$C$49)</f>
        <v>1118.07421515923</v>
      </c>
      <c r="S63" s="16" t="n">
        <f aca="false">R63*(1+$C$49)</f>
        <v>1162.7971837656</v>
      </c>
      <c r="T63" s="16" t="n">
        <f aca="false">S63*(1+$C$49)</f>
        <v>1209.30907111622</v>
      </c>
      <c r="U63" s="16" t="n">
        <f aca="false">T63*(1+$C$49)</f>
        <v>1257.68143396087</v>
      </c>
      <c r="V63" s="16" t="n">
        <f aca="false">U63*(1+$C$49)</f>
        <v>1307.9886913193</v>
      </c>
      <c r="W63" s="16" t="n">
        <f aca="false">V63*(1+$C$49)</f>
        <v>1360.30823897208</v>
      </c>
      <c r="X63" s="16" t="n">
        <f aca="false">W63*(1+$C$49)</f>
        <v>1414.72056853096</v>
      </c>
      <c r="Y63" s="16" t="n">
        <f aca="false">X63*(1+$C$49)</f>
        <v>1471.3093912722</v>
      </c>
      <c r="Z63" s="16" t="n">
        <f aca="false">Y63*(1+$C$49)</f>
        <v>1530.16176692308</v>
      </c>
      <c r="AA63" s="16" t="n">
        <f aca="false">Z63*(1+$C$49)</f>
        <v>1591.36823760001</v>
      </c>
      <c r="AB63" s="16" t="n">
        <f aca="false">AA63*(1+$C$49)</f>
        <v>1655.02296710401</v>
      </c>
      <c r="AC63" s="16" t="n">
        <f aca="false">AB63*(1+$C$49)</f>
        <v>1721.22388578817</v>
      </c>
      <c r="AD63" s="16" t="n">
        <f aca="false">AC63*(1+$C$49)</f>
        <v>1790.0728412197</v>
      </c>
      <c r="AE63" s="16" t="n">
        <f aca="false">AD63*(1+$C$49)</f>
        <v>1861.67575486848</v>
      </c>
      <c r="AF63" s="16" t="n">
        <f aca="false">AE63*(1+$C$49)</f>
        <v>1936.14278506322</v>
      </c>
      <c r="AG63" s="16" t="n">
        <f aca="false">AF63*(1+$C$49)</f>
        <v>2013.58849646575</v>
      </c>
      <c r="AH63" s="16" t="n">
        <f aca="false">AG63*(1+$C$49)</f>
        <v>2094.13203632438</v>
      </c>
      <c r="AI63" s="16" t="n">
        <f aca="false">AH63*(1+$C$49)</f>
        <v>2177.89731777736</v>
      </c>
      <c r="AJ63" s="16" t="n">
        <f aca="false">AI63*(1+$C$49)</f>
        <v>2265.01321048845</v>
      </c>
      <c r="AK63" s="16" t="n">
        <f aca="false">AJ63*(1+$C$49)</f>
        <v>2355.61373890799</v>
      </c>
      <c r="AL63" s="16" t="n">
        <f aca="false">AK63*(1+$C$49)</f>
        <v>2449.83828846431</v>
      </c>
      <c r="AM63" s="16" t="n">
        <f aca="false">AL63*(1+$C$49)</f>
        <v>2547.83182000288</v>
      </c>
      <c r="AN63" s="16" t="n">
        <f aca="false">AM63*(1+$C$49)</f>
        <v>2649.745092803</v>
      </c>
      <c r="AO63" s="16" t="n">
        <f aca="false">AN63*(1+$C$49)</f>
        <v>2755.73489651512</v>
      </c>
      <c r="AP63" s="16" t="n">
        <f aca="false">AO63*(1+$C$49)</f>
        <v>2865.96429237572</v>
      </c>
      <c r="AQ63" s="16" t="n">
        <f aca="false">AP63*(1+$C$49)</f>
        <v>2980.60286407075</v>
      </c>
      <c r="AR63" s="16" t="n">
        <f aca="false">AQ63*(1+$C$49)</f>
        <v>3099.82697863358</v>
      </c>
      <c r="AS63" s="16" t="n">
        <f aca="false">AR63*(1+$C$49)</f>
        <v>3223.82005777892</v>
      </c>
      <c r="AT63" s="16" t="n">
        <f aca="false">AS63*(1+$C$49)</f>
        <v>3352.77286009008</v>
      </c>
      <c r="AU63" s="16" t="n">
        <f aca="false">AT63*(1+$C$49)</f>
        <v>3486.88377449369</v>
      </c>
      <c r="AV63" s="16" t="n">
        <f aca="false">AU63*(1+$C$49)</f>
        <v>3626.35912547343</v>
      </c>
    </row>
    <row r="64" customFormat="false" ht="15" hidden="false" customHeight="false" outlineLevel="0" collapsed="false">
      <c r="B64" s="7" t="s">
        <v>139</v>
      </c>
      <c r="D64" s="16" t="n">
        <f aca="false">D63*$C$50</f>
        <v>409.542138</v>
      </c>
      <c r="E64" s="16" t="n">
        <f aca="false">E63*$C$50</f>
        <v>425.92382352</v>
      </c>
      <c r="F64" s="16" t="n">
        <f aca="false">F63*$C$50</f>
        <v>442.9607764608</v>
      </c>
      <c r="G64" s="16" t="n">
        <f aca="false">G63*$C$50</f>
        <v>460.679207519232</v>
      </c>
      <c r="H64" s="16" t="n">
        <f aca="false">H63*$C$50</f>
        <v>479.106375820001</v>
      </c>
      <c r="I64" s="16" t="n">
        <f aca="false">I63*$C$50</f>
        <v>498.270630852801</v>
      </c>
      <c r="J64" s="16" t="n">
        <f aca="false">J63*$C$50</f>
        <v>518.201456086913</v>
      </c>
      <c r="K64" s="16" t="n">
        <f aca="false">K63*$C$50</f>
        <v>538.92951433039</v>
      </c>
      <c r="L64" s="16" t="n">
        <f aca="false">L63*$C$50</f>
        <v>560.486694903606</v>
      </c>
      <c r="M64" s="16" t="n">
        <f aca="false">M63*$C$50</f>
        <v>582.90616269975</v>
      </c>
      <c r="N64" s="16" t="n">
        <f aca="false">N63*$C$50</f>
        <v>606.22240920774</v>
      </c>
      <c r="O64" s="16" t="n">
        <f aca="false">O63*$C$50</f>
        <v>630.471305576049</v>
      </c>
      <c r="P64" s="16" t="n">
        <f aca="false">P63*$C$50</f>
        <v>655.690157799091</v>
      </c>
      <c r="Q64" s="16" t="n">
        <f aca="false">Q63*$C$50</f>
        <v>681.917764111055</v>
      </c>
      <c r="R64" s="16" t="n">
        <f aca="false">R63*$C$50</f>
        <v>709.194474675497</v>
      </c>
      <c r="S64" s="16" t="n">
        <f aca="false">S63*$C$50</f>
        <v>737.562253662517</v>
      </c>
      <c r="T64" s="16" t="n">
        <f aca="false">T63*$C$50</f>
        <v>767.064743809018</v>
      </c>
      <c r="U64" s="16" t="n">
        <f aca="false">U63*$C$50</f>
        <v>797.747333561379</v>
      </c>
      <c r="V64" s="16" t="n">
        <f aca="false">V63*$C$50</f>
        <v>829.657226903834</v>
      </c>
      <c r="W64" s="16" t="n">
        <f aca="false">W63*$C$50</f>
        <v>862.843515979987</v>
      </c>
      <c r="X64" s="16" t="n">
        <f aca="false">X63*$C$50</f>
        <v>897.357256619187</v>
      </c>
      <c r="Y64" s="16" t="n">
        <f aca="false">Y63*$C$50</f>
        <v>933.251546883954</v>
      </c>
      <c r="Z64" s="16" t="n">
        <f aca="false">Z63*$C$50</f>
        <v>970.581608759313</v>
      </c>
      <c r="AA64" s="16" t="n">
        <f aca="false">AA63*$C$50</f>
        <v>1009.40487310969</v>
      </c>
      <c r="AB64" s="16" t="n">
        <f aca="false">AB63*$C$50</f>
        <v>1049.78106803407</v>
      </c>
      <c r="AC64" s="16" t="n">
        <f aca="false">AC63*$C$50</f>
        <v>1091.77231075544</v>
      </c>
      <c r="AD64" s="16" t="n">
        <f aca="false">AD63*$C$50</f>
        <v>1135.44320318565</v>
      </c>
      <c r="AE64" s="16" t="n">
        <f aca="false">AE63*$C$50</f>
        <v>1180.86093131308</v>
      </c>
      <c r="AF64" s="16" t="n">
        <f aca="false">AF63*$C$50</f>
        <v>1228.0953685656</v>
      </c>
      <c r="AG64" s="16" t="n">
        <f aca="false">AG63*$C$50</f>
        <v>1277.21918330823</v>
      </c>
      <c r="AH64" s="16" t="n">
        <f aca="false">AH63*$C$50</f>
        <v>1328.30795064056</v>
      </c>
      <c r="AI64" s="16" t="n">
        <f aca="false">AI63*$C$50</f>
        <v>1381.44026866618</v>
      </c>
      <c r="AJ64" s="16" t="n">
        <f aca="false">AJ63*$C$50</f>
        <v>1436.69787941282</v>
      </c>
      <c r="AK64" s="16" t="n">
        <f aca="false">AK63*$C$50</f>
        <v>1494.16579458934</v>
      </c>
      <c r="AL64" s="16" t="n">
        <f aca="false">AL63*$C$50</f>
        <v>1553.93242637291</v>
      </c>
      <c r="AM64" s="16" t="n">
        <f aca="false">AM63*$C$50</f>
        <v>1616.08972342783</v>
      </c>
      <c r="AN64" s="16" t="n">
        <f aca="false">AN63*$C$50</f>
        <v>1680.73331236494</v>
      </c>
      <c r="AO64" s="16" t="n">
        <f aca="false">AO63*$C$50</f>
        <v>1747.96264485954</v>
      </c>
      <c r="AP64" s="16" t="n">
        <f aca="false">AP63*$C$50</f>
        <v>1817.88115065392</v>
      </c>
      <c r="AQ64" s="16" t="n">
        <f aca="false">AQ63*$C$50</f>
        <v>1890.59639668008</v>
      </c>
      <c r="AR64" s="16" t="n">
        <f aca="false">AR63*$C$50</f>
        <v>1966.22025254728</v>
      </c>
      <c r="AS64" s="16" t="n">
        <f aca="false">AS63*$C$50</f>
        <v>2044.86906264917</v>
      </c>
      <c r="AT64" s="16" t="n">
        <f aca="false">AT63*$C$50</f>
        <v>2126.66382515514</v>
      </c>
      <c r="AU64" s="16" t="n">
        <f aca="false">AU63*$C$50</f>
        <v>2211.73037816134</v>
      </c>
      <c r="AV64" s="16" t="n">
        <f aca="false">AV63*$C$50</f>
        <v>2300.1995932878</v>
      </c>
    </row>
    <row r="65" customFormat="false" ht="15" hidden="false" customHeight="false" outlineLevel="0" collapsed="false">
      <c r="B65" s="7" t="s">
        <v>140</v>
      </c>
      <c r="D65" s="16" t="n">
        <f aca="false">-D63*$C$51</f>
        <v>-75.671352</v>
      </c>
      <c r="E65" s="16" t="n">
        <f aca="false">-E63*$C$51</f>
        <v>-78.69820608</v>
      </c>
      <c r="F65" s="16" t="n">
        <f aca="false">-F63*$C$51</f>
        <v>-81.8461343232</v>
      </c>
      <c r="G65" s="16" t="n">
        <f aca="false">-G63*$C$51</f>
        <v>-85.119979696128</v>
      </c>
      <c r="H65" s="16" t="n">
        <f aca="false">-H63*$C$51</f>
        <v>-88.5247788839731</v>
      </c>
      <c r="I65" s="16" t="n">
        <f aca="false">-I63*$C$51</f>
        <v>-92.0657700393321</v>
      </c>
      <c r="J65" s="16" t="n">
        <f aca="false">-J63*$C$51</f>
        <v>-95.7484008409053</v>
      </c>
      <c r="K65" s="16" t="n">
        <f aca="false">-K63*$C$51</f>
        <v>-99.5783368745416</v>
      </c>
      <c r="L65" s="16" t="n">
        <f aca="false">-L63*$C$51</f>
        <v>-103.561470349523</v>
      </c>
      <c r="M65" s="16" t="n">
        <f aca="false">-M63*$C$51</f>
        <v>-107.703929163504</v>
      </c>
      <c r="N65" s="16" t="n">
        <f aca="false">-N63*$C$51</f>
        <v>-112.012086330044</v>
      </c>
      <c r="O65" s="16" t="n">
        <f aca="false">-O63*$C$51</f>
        <v>-116.492569783246</v>
      </c>
      <c r="P65" s="16" t="n">
        <f aca="false">-P63*$C$51</f>
        <v>-121.152272574576</v>
      </c>
      <c r="Q65" s="16" t="n">
        <f aca="false">-Q63*$C$51</f>
        <v>-125.998363477559</v>
      </c>
      <c r="R65" s="16" t="n">
        <f aca="false">-R63*$C$51</f>
        <v>-131.038298016661</v>
      </c>
      <c r="S65" s="16" t="n">
        <f aca="false">-S63*$C$51</f>
        <v>-136.279829937328</v>
      </c>
      <c r="T65" s="16" t="n">
        <f aca="false">-T63*$C$51</f>
        <v>-141.731023134821</v>
      </c>
      <c r="U65" s="16" t="n">
        <f aca="false">-U63*$C$51</f>
        <v>-147.400264060214</v>
      </c>
      <c r="V65" s="16" t="n">
        <f aca="false">-V63*$C$51</f>
        <v>-153.296274622622</v>
      </c>
      <c r="W65" s="16" t="n">
        <f aca="false">-W63*$C$51</f>
        <v>-159.428125607527</v>
      </c>
      <c r="X65" s="16" t="n">
        <f aca="false">-X63*$C$51</f>
        <v>-165.805250631828</v>
      </c>
      <c r="Y65" s="16" t="n">
        <f aca="false">-Y63*$C$51</f>
        <v>-172.437460657101</v>
      </c>
      <c r="Z65" s="16" t="n">
        <f aca="false">-Z63*$C$51</f>
        <v>-179.334959083386</v>
      </c>
      <c r="AA65" s="16" t="n">
        <f aca="false">-AA63*$C$51</f>
        <v>-186.508357446721</v>
      </c>
      <c r="AB65" s="16" t="n">
        <f aca="false">-AB63*$C$51</f>
        <v>-193.96869174459</v>
      </c>
      <c r="AC65" s="16" t="n">
        <f aca="false">-AC63*$C$51</f>
        <v>-201.727439414373</v>
      </c>
      <c r="AD65" s="16" t="n">
        <f aca="false">-AD63*$C$51</f>
        <v>-209.796536990948</v>
      </c>
      <c r="AE65" s="16" t="n">
        <f aca="false">-AE63*$C$51</f>
        <v>-218.188398470586</v>
      </c>
      <c r="AF65" s="16" t="n">
        <f aca="false">-AF63*$C$51</f>
        <v>-226.91593440941</v>
      </c>
      <c r="AG65" s="16" t="n">
        <f aca="false">-AG63*$C$51</f>
        <v>-235.992571785786</v>
      </c>
      <c r="AH65" s="16" t="n">
        <f aca="false">-AH63*$C$51</f>
        <v>-245.432274657218</v>
      </c>
      <c r="AI65" s="16" t="n">
        <f aca="false">-AI63*$C$51</f>
        <v>-255.249565643506</v>
      </c>
      <c r="AJ65" s="16" t="n">
        <f aca="false">-AJ63*$C$51</f>
        <v>-265.459548269247</v>
      </c>
      <c r="AK65" s="16" t="n">
        <f aca="false">-AK63*$C$51</f>
        <v>-276.077930200016</v>
      </c>
      <c r="AL65" s="16" t="n">
        <f aca="false">-AL63*$C$51</f>
        <v>-287.121047408017</v>
      </c>
      <c r="AM65" s="16" t="n">
        <f aca="false">-AM63*$C$51</f>
        <v>-298.605889304338</v>
      </c>
      <c r="AN65" s="16" t="n">
        <f aca="false">-AN63*$C$51</f>
        <v>-310.550124876511</v>
      </c>
      <c r="AO65" s="16" t="n">
        <f aca="false">-AO63*$C$51</f>
        <v>-322.972129871572</v>
      </c>
      <c r="AP65" s="16" t="n">
        <f aca="false">-AP63*$C$51</f>
        <v>-335.891015066435</v>
      </c>
      <c r="AQ65" s="16" t="n">
        <f aca="false">-AQ63*$C$51</f>
        <v>-349.326655669092</v>
      </c>
      <c r="AR65" s="16" t="n">
        <f aca="false">-AR63*$C$51</f>
        <v>-363.299721895856</v>
      </c>
      <c r="AS65" s="16" t="n">
        <f aca="false">-AS63*$C$51</f>
        <v>-377.83171077169</v>
      </c>
      <c r="AT65" s="16" t="n">
        <f aca="false">-AT63*$C$51</f>
        <v>-392.944979202558</v>
      </c>
      <c r="AU65" s="16" t="n">
        <f aca="false">-AU63*$C$51</f>
        <v>-408.66277837066</v>
      </c>
      <c r="AV65" s="16" t="n">
        <f aca="false">-AV63*$C$51</f>
        <v>-425.009289505486</v>
      </c>
    </row>
    <row r="66" customFormat="false" ht="15" hidden="false" customHeight="false" outlineLevel="0" collapsed="false">
      <c r="B66" s="7" t="s">
        <v>141</v>
      </c>
      <c r="D66" s="16" t="n">
        <f aca="false">D64+D65</f>
        <v>333.870786</v>
      </c>
      <c r="E66" s="16" t="n">
        <f aca="false">E64+E65</f>
        <v>347.22561744</v>
      </c>
      <c r="F66" s="16" t="n">
        <f aca="false">F64+F65</f>
        <v>361.1146421376</v>
      </c>
      <c r="G66" s="16" t="n">
        <f aca="false">G64+G65</f>
        <v>375.559227823104</v>
      </c>
      <c r="H66" s="16" t="n">
        <f aca="false">H64+H65</f>
        <v>390.581596936028</v>
      </c>
      <c r="I66" s="16" t="n">
        <f aca="false">I64+I65</f>
        <v>406.204860813469</v>
      </c>
      <c r="J66" s="16" t="n">
        <f aca="false">J64+J65</f>
        <v>422.453055246008</v>
      </c>
      <c r="K66" s="16" t="n">
        <f aca="false">K64+K65</f>
        <v>439.351177455848</v>
      </c>
      <c r="L66" s="16" t="n">
        <f aca="false">L64+L65</f>
        <v>456.925224554082</v>
      </c>
      <c r="M66" s="16" t="n">
        <f aca="false">M64+M65</f>
        <v>475.202233536246</v>
      </c>
      <c r="N66" s="16" t="n">
        <f aca="false">N64+N65</f>
        <v>494.210322877696</v>
      </c>
      <c r="O66" s="16" t="n">
        <f aca="false">O64+O65</f>
        <v>513.978735792803</v>
      </c>
      <c r="P66" s="16" t="n">
        <f aca="false">P64+P65</f>
        <v>534.537885224515</v>
      </c>
      <c r="Q66" s="16" t="n">
        <f aca="false">Q64+Q65</f>
        <v>555.919400633496</v>
      </c>
      <c r="R66" s="16" t="n">
        <f aca="false">R64+R65</f>
        <v>578.156176658836</v>
      </c>
      <c r="S66" s="16" t="n">
        <f aca="false">S64+S65</f>
        <v>601.282423725189</v>
      </c>
      <c r="T66" s="16" t="n">
        <f aca="false">T64+T65</f>
        <v>625.333720674197</v>
      </c>
      <c r="U66" s="16" t="n">
        <f aca="false">U64+U65</f>
        <v>650.347069501165</v>
      </c>
      <c r="V66" s="16" t="n">
        <f aca="false">V64+V65</f>
        <v>676.360952281212</v>
      </c>
      <c r="W66" s="16" t="n">
        <f aca="false">W64+W65</f>
        <v>703.41539037246</v>
      </c>
      <c r="X66" s="16" t="n">
        <f aca="false">X64+X65</f>
        <v>731.552005987359</v>
      </c>
      <c r="Y66" s="16" t="n">
        <f aca="false">Y64+Y65</f>
        <v>760.814086226853</v>
      </c>
      <c r="Z66" s="16" t="n">
        <f aca="false">Z64+Z65</f>
        <v>791.246649675927</v>
      </c>
      <c r="AA66" s="16" t="n">
        <f aca="false">AA64+AA65</f>
        <v>822.896515662964</v>
      </c>
      <c r="AB66" s="16" t="n">
        <f aca="false">AB64+AB65</f>
        <v>855.812376289483</v>
      </c>
      <c r="AC66" s="16" t="n">
        <f aca="false">AC64+AC65</f>
        <v>890.044871341062</v>
      </c>
      <c r="AD66" s="16" t="n">
        <f aca="false">AD64+AD65</f>
        <v>925.646666194705</v>
      </c>
      <c r="AE66" s="16" t="n">
        <f aca="false">AE64+AE65</f>
        <v>962.672532842493</v>
      </c>
      <c r="AF66" s="16" t="n">
        <f aca="false">AF64+AF65</f>
        <v>1001.17943415619</v>
      </c>
      <c r="AG66" s="16" t="n">
        <f aca="false">AG64+AG65</f>
        <v>1041.22661152244</v>
      </c>
      <c r="AH66" s="16" t="n">
        <f aca="false">AH64+AH65</f>
        <v>1082.87567598334</v>
      </c>
      <c r="AI66" s="16" t="n">
        <f aca="false">AI64+AI65</f>
        <v>1126.19070302267</v>
      </c>
      <c r="AJ66" s="16" t="n">
        <f aca="false">AJ64+AJ65</f>
        <v>1171.23833114358</v>
      </c>
      <c r="AK66" s="16" t="n">
        <f aca="false">AK64+AK65</f>
        <v>1218.08786438932</v>
      </c>
      <c r="AL66" s="16" t="n">
        <f aca="false">AL64+AL65</f>
        <v>1266.81137896489</v>
      </c>
      <c r="AM66" s="16" t="n">
        <f aca="false">AM64+AM65</f>
        <v>1317.48383412349</v>
      </c>
      <c r="AN66" s="16" t="n">
        <f aca="false">AN64+AN65</f>
        <v>1370.18318748843</v>
      </c>
      <c r="AO66" s="16" t="n">
        <f aca="false">AO64+AO65</f>
        <v>1424.99051498797</v>
      </c>
      <c r="AP66" s="16" t="n">
        <f aca="false">AP64+AP65</f>
        <v>1481.99013558749</v>
      </c>
      <c r="AQ66" s="16" t="n">
        <f aca="false">AQ64+AQ65</f>
        <v>1541.26974101099</v>
      </c>
      <c r="AR66" s="16" t="n">
        <f aca="false">AR64+AR65</f>
        <v>1602.92053065142</v>
      </c>
      <c r="AS66" s="16" t="n">
        <f aca="false">AS64+AS65</f>
        <v>1667.03735187748</v>
      </c>
      <c r="AT66" s="16" t="n">
        <f aca="false">AT64+AT65</f>
        <v>1733.71884595258</v>
      </c>
      <c r="AU66" s="16" t="n">
        <f aca="false">AU64+AU65</f>
        <v>1803.06759979068</v>
      </c>
      <c r="AV66" s="16" t="n">
        <f aca="false">AV64+AV65</f>
        <v>1875.19030378231</v>
      </c>
    </row>
    <row r="67" customFormat="false" ht="15" hidden="false" customHeight="false" outlineLevel="0" collapsed="false">
      <c r="B67" s="7" t="s">
        <v>142</v>
      </c>
      <c r="D67" s="8" t="n">
        <f aca="false">IF(D$61=2026,Inputs!$C$10,Inputs!$C$11)</f>
        <v>0.348</v>
      </c>
      <c r="E67" s="8" t="n">
        <f aca="false">IF(E$61=2026,Inputs!$C$10,Inputs!$C$11)</f>
        <v>0.258</v>
      </c>
      <c r="F67" s="8" t="n">
        <f aca="false">IF(F$61=2026,Inputs!$C$10,Inputs!$C$11)</f>
        <v>0.258</v>
      </c>
      <c r="G67" s="8" t="n">
        <f aca="false">IF(G$61=2026,Inputs!$C$10,Inputs!$C$11)</f>
        <v>0.258</v>
      </c>
      <c r="H67" s="8" t="n">
        <f aca="false">IF(H$61=2026,Inputs!$C$10,Inputs!$C$11)</f>
        <v>0.258</v>
      </c>
      <c r="I67" s="8" t="n">
        <f aca="false">IF(I$61=2026,Inputs!$C$10,Inputs!$C$11)</f>
        <v>0.258</v>
      </c>
      <c r="J67" s="8" t="n">
        <f aca="false">IF(J$61=2026,Inputs!$C$10,Inputs!$C$11)</f>
        <v>0.258</v>
      </c>
      <c r="K67" s="8" t="n">
        <f aca="false">IF(K$61=2026,Inputs!$C$10,Inputs!$C$11)</f>
        <v>0.258</v>
      </c>
      <c r="L67" s="8" t="n">
        <f aca="false">IF(L$61=2026,Inputs!$C$10,Inputs!$C$11)</f>
        <v>0.258</v>
      </c>
      <c r="M67" s="8" t="n">
        <f aca="false">IF(M$61=2026,Inputs!$C$10,Inputs!$C$11)</f>
        <v>0.258</v>
      </c>
      <c r="N67" s="8" t="n">
        <f aca="false">IF(N$61=2026,Inputs!$C$10,Inputs!$C$11)</f>
        <v>0.258</v>
      </c>
      <c r="O67" s="8" t="n">
        <f aca="false">IF(O$61=2026,Inputs!$C$10,Inputs!$C$11)</f>
        <v>0.258</v>
      </c>
      <c r="P67" s="8" t="n">
        <f aca="false">IF(P$61=2026,Inputs!$C$10,Inputs!$C$11)</f>
        <v>0.258</v>
      </c>
      <c r="Q67" s="8" t="n">
        <f aca="false">IF(Q$61=2026,Inputs!$C$10,Inputs!$C$11)</f>
        <v>0.258</v>
      </c>
      <c r="R67" s="8" t="n">
        <f aca="false">IF(R$61=2026,Inputs!$C$10,Inputs!$C$11)</f>
        <v>0.258</v>
      </c>
      <c r="S67" s="8" t="n">
        <f aca="false">IF(S$61=2026,Inputs!$C$10,Inputs!$C$11)</f>
        <v>0.258</v>
      </c>
      <c r="T67" s="8" t="n">
        <f aca="false">IF(T$61=2026,Inputs!$C$10,Inputs!$C$11)</f>
        <v>0.258</v>
      </c>
      <c r="U67" s="8" t="n">
        <f aca="false">IF(U$61=2026,Inputs!$C$10,Inputs!$C$11)</f>
        <v>0.258</v>
      </c>
      <c r="V67" s="8" t="n">
        <f aca="false">IF(V$61=2026,Inputs!$C$10,Inputs!$C$11)</f>
        <v>0.258</v>
      </c>
      <c r="W67" s="8" t="n">
        <f aca="false">IF(W$61=2026,Inputs!$C$10,Inputs!$C$11)</f>
        <v>0.258</v>
      </c>
      <c r="X67" s="8" t="n">
        <f aca="false">IF(X$61=2026,Inputs!$C$10,Inputs!$C$11)</f>
        <v>0.258</v>
      </c>
      <c r="Y67" s="8" t="n">
        <f aca="false">IF(Y$61=2026,Inputs!$C$10,Inputs!$C$11)</f>
        <v>0.258</v>
      </c>
      <c r="Z67" s="8" t="n">
        <f aca="false">IF(Z$61=2026,Inputs!$C$10,Inputs!$C$11)</f>
        <v>0.258</v>
      </c>
      <c r="AA67" s="8" t="n">
        <f aca="false">IF(AA$61=2026,Inputs!$C$10,Inputs!$C$11)</f>
        <v>0.258</v>
      </c>
      <c r="AB67" s="8" t="n">
        <f aca="false">IF(AB$61=2026,Inputs!$C$10,Inputs!$C$11)</f>
        <v>0.258</v>
      </c>
      <c r="AC67" s="8" t="n">
        <f aca="false">IF(AC$61=2026,Inputs!$C$10,Inputs!$C$11)</f>
        <v>0.258</v>
      </c>
      <c r="AD67" s="8" t="n">
        <f aca="false">IF(AD$61=2026,Inputs!$C$10,Inputs!$C$11)</f>
        <v>0.258</v>
      </c>
      <c r="AE67" s="8" t="n">
        <f aca="false">IF(AE$61=2026,Inputs!$C$10,Inputs!$C$11)</f>
        <v>0.258</v>
      </c>
      <c r="AF67" s="8" t="n">
        <f aca="false">IF(AF$61=2026,Inputs!$C$10,Inputs!$C$11)</f>
        <v>0.258</v>
      </c>
      <c r="AG67" s="8" t="n">
        <f aca="false">IF(AG$61=2026,Inputs!$C$10,Inputs!$C$11)</f>
        <v>0.258</v>
      </c>
      <c r="AH67" s="8" t="n">
        <f aca="false">IF(AH$61=2026,Inputs!$C$10,Inputs!$C$11)</f>
        <v>0.258</v>
      </c>
      <c r="AI67" s="8" t="n">
        <f aca="false">IF(AI$61=2026,Inputs!$C$10,Inputs!$C$11)</f>
        <v>0.258</v>
      </c>
      <c r="AJ67" s="8" t="n">
        <f aca="false">IF(AJ$61=2026,Inputs!$C$10,Inputs!$C$11)</f>
        <v>0.258</v>
      </c>
      <c r="AK67" s="8" t="n">
        <f aca="false">IF(AK$61=2026,Inputs!$C$10,Inputs!$C$11)</f>
        <v>0.258</v>
      </c>
      <c r="AL67" s="8" t="n">
        <f aca="false">IF(AL$61=2026,Inputs!$C$10,Inputs!$C$11)</f>
        <v>0.258</v>
      </c>
      <c r="AM67" s="8" t="n">
        <f aca="false">IF(AM$61=2026,Inputs!$C$10,Inputs!$C$11)</f>
        <v>0.258</v>
      </c>
      <c r="AN67" s="8" t="n">
        <f aca="false">IF(AN$61=2026,Inputs!$C$10,Inputs!$C$11)</f>
        <v>0.258</v>
      </c>
      <c r="AO67" s="8" t="n">
        <f aca="false">IF(AO$61=2026,Inputs!$C$10,Inputs!$C$11)</f>
        <v>0.258</v>
      </c>
      <c r="AP67" s="8" t="n">
        <f aca="false">IF(AP$61=2026,Inputs!$C$10,Inputs!$C$11)</f>
        <v>0.258</v>
      </c>
      <c r="AQ67" s="8" t="n">
        <f aca="false">IF(AQ$61=2026,Inputs!$C$10,Inputs!$C$11)</f>
        <v>0.258</v>
      </c>
      <c r="AR67" s="8" t="n">
        <f aca="false">IF(AR$61=2026,Inputs!$C$10,Inputs!$C$11)</f>
        <v>0.258</v>
      </c>
      <c r="AS67" s="8" t="n">
        <f aca="false">IF(AS$61=2026,Inputs!$C$10,Inputs!$C$11)</f>
        <v>0.258</v>
      </c>
      <c r="AT67" s="8" t="n">
        <f aca="false">IF(AT$61=2026,Inputs!$C$10,Inputs!$C$11)</f>
        <v>0.258</v>
      </c>
      <c r="AU67" s="8" t="n">
        <f aca="false">IF(AU$61=2026,Inputs!$C$10,Inputs!$C$11)</f>
        <v>0.258</v>
      </c>
      <c r="AV67" s="8" t="n">
        <f aca="false">IF(AV$61=2026,Inputs!$C$10,Inputs!$C$11)</f>
        <v>0.258</v>
      </c>
    </row>
    <row r="68" customFormat="false" ht="15" hidden="false" customHeight="false" outlineLevel="0" collapsed="false">
      <c r="B68" s="7" t="s">
        <v>143</v>
      </c>
      <c r="D68" s="16" t="n">
        <f aca="false">-MAX(0,D66)*D67</f>
        <v>-116.187033528</v>
      </c>
      <c r="E68" s="16" t="n">
        <f aca="false">-MAX(0,E66)*E67</f>
        <v>-89.58420929952</v>
      </c>
      <c r="F68" s="16" t="n">
        <f aca="false">-MAX(0,F66)*F67</f>
        <v>-93.1675776715008</v>
      </c>
      <c r="G68" s="16" t="n">
        <f aca="false">-MAX(0,G66)*G67</f>
        <v>-96.8942807783609</v>
      </c>
      <c r="H68" s="16" t="n">
        <f aca="false">-MAX(0,H66)*H67</f>
        <v>-100.770052009495</v>
      </c>
      <c r="I68" s="16" t="n">
        <f aca="false">-MAX(0,I66)*I67</f>
        <v>-104.800854089875</v>
      </c>
      <c r="J68" s="16" t="n">
        <f aca="false">-MAX(0,J66)*J67</f>
        <v>-108.99288825347</v>
      </c>
      <c r="K68" s="16" t="n">
        <f aca="false">-MAX(0,K66)*K67</f>
        <v>-113.352603783609</v>
      </c>
      <c r="L68" s="16" t="n">
        <f aca="false">-MAX(0,L66)*L67</f>
        <v>-117.886707934953</v>
      </c>
      <c r="M68" s="16" t="n">
        <f aca="false">-MAX(0,M66)*M67</f>
        <v>-122.602176252351</v>
      </c>
      <c r="N68" s="16" t="n">
        <f aca="false">-MAX(0,N66)*N67</f>
        <v>-127.506263302445</v>
      </c>
      <c r="O68" s="16" t="n">
        <f aca="false">-MAX(0,O66)*O67</f>
        <v>-132.606513834543</v>
      </c>
      <c r="P68" s="16" t="n">
        <f aca="false">-MAX(0,P66)*P67</f>
        <v>-137.910774387925</v>
      </c>
      <c r="Q68" s="16" t="n">
        <f aca="false">-MAX(0,Q66)*Q67</f>
        <v>-143.427205363442</v>
      </c>
      <c r="R68" s="16" t="n">
        <f aca="false">-MAX(0,R66)*R67</f>
        <v>-149.16429357798</v>
      </c>
      <c r="S68" s="16" t="n">
        <f aca="false">-MAX(0,S66)*S67</f>
        <v>-155.130865321099</v>
      </c>
      <c r="T68" s="16" t="n">
        <f aca="false">-MAX(0,T66)*T67</f>
        <v>-161.336099933943</v>
      </c>
      <c r="U68" s="16" t="n">
        <f aca="false">-MAX(0,U66)*U67</f>
        <v>-167.789543931301</v>
      </c>
      <c r="V68" s="16" t="n">
        <f aca="false">-MAX(0,V66)*V67</f>
        <v>-174.501125688553</v>
      </c>
      <c r="W68" s="16" t="n">
        <f aca="false">-MAX(0,W66)*W67</f>
        <v>-181.481170716095</v>
      </c>
      <c r="X68" s="16" t="n">
        <f aca="false">-MAX(0,X66)*X67</f>
        <v>-188.740417544739</v>
      </c>
      <c r="Y68" s="16" t="n">
        <f aca="false">-MAX(0,Y66)*Y67</f>
        <v>-196.290034246528</v>
      </c>
      <c r="Z68" s="16" t="n">
        <f aca="false">-MAX(0,Z66)*Z67</f>
        <v>-204.141635616389</v>
      </c>
      <c r="AA68" s="16" t="n">
        <f aca="false">-MAX(0,AA66)*AA67</f>
        <v>-212.307301041045</v>
      </c>
      <c r="AB68" s="16" t="n">
        <f aca="false">-MAX(0,AB66)*AB67</f>
        <v>-220.799593082687</v>
      </c>
      <c r="AC68" s="16" t="n">
        <f aca="false">-MAX(0,AC66)*AC67</f>
        <v>-229.631576805994</v>
      </c>
      <c r="AD68" s="16" t="n">
        <f aca="false">-MAX(0,AD66)*AD67</f>
        <v>-238.816839878234</v>
      </c>
      <c r="AE68" s="16" t="n">
        <f aca="false">-MAX(0,AE66)*AE67</f>
        <v>-248.369513473363</v>
      </c>
      <c r="AF68" s="16" t="n">
        <f aca="false">-MAX(0,AF66)*AF67</f>
        <v>-258.304294012298</v>
      </c>
      <c r="AG68" s="16" t="n">
        <f aca="false">-MAX(0,AG66)*AG67</f>
        <v>-268.63646577279</v>
      </c>
      <c r="AH68" s="16" t="n">
        <f aca="false">-MAX(0,AH66)*AH67</f>
        <v>-279.381924403701</v>
      </c>
      <c r="AI68" s="16" t="n">
        <f aca="false">-MAX(0,AI66)*AI67</f>
        <v>-290.557201379849</v>
      </c>
      <c r="AJ68" s="16" t="n">
        <f aca="false">-MAX(0,AJ66)*AJ67</f>
        <v>-302.179489435043</v>
      </c>
      <c r="AK68" s="16" t="n">
        <f aca="false">-MAX(0,AK66)*AK67</f>
        <v>-314.266669012445</v>
      </c>
      <c r="AL68" s="16" t="n">
        <f aca="false">-MAX(0,AL66)*AL67</f>
        <v>-326.837335772943</v>
      </c>
      <c r="AM68" s="16" t="n">
        <f aca="false">-MAX(0,AM66)*AM67</f>
        <v>-339.91082920386</v>
      </c>
      <c r="AN68" s="16" t="n">
        <f aca="false">-MAX(0,AN66)*AN67</f>
        <v>-353.507262372015</v>
      </c>
      <c r="AO68" s="16" t="n">
        <f aca="false">-MAX(0,AO66)*AO67</f>
        <v>-367.647552866896</v>
      </c>
      <c r="AP68" s="16" t="n">
        <f aca="false">-MAX(0,AP66)*AP67</f>
        <v>-382.353454981571</v>
      </c>
      <c r="AQ68" s="16" t="n">
        <f aca="false">-MAX(0,AQ66)*AQ67</f>
        <v>-397.647593180834</v>
      </c>
      <c r="AR68" s="16" t="n">
        <f aca="false">-MAX(0,AR66)*AR67</f>
        <v>-413.553496908068</v>
      </c>
      <c r="AS68" s="16" t="n">
        <f aca="false">-MAX(0,AS66)*AS67</f>
        <v>-430.09563678439</v>
      </c>
      <c r="AT68" s="16" t="n">
        <f aca="false">-MAX(0,AT66)*AT67</f>
        <v>-447.299462255766</v>
      </c>
      <c r="AU68" s="16" t="n">
        <f aca="false">-MAX(0,AU66)*AU67</f>
        <v>-465.191440745997</v>
      </c>
      <c r="AV68" s="16" t="n">
        <f aca="false">-MAX(0,AV66)*AV67</f>
        <v>-483.799098375836</v>
      </c>
    </row>
    <row r="69" customFormat="false" ht="15" hidden="false" customHeight="false" outlineLevel="0" collapsed="false">
      <c r="B69" s="7" t="s">
        <v>144</v>
      </c>
      <c r="D69" s="16" t="n">
        <f aca="false">-D63*$C$52</f>
        <v>-85.87278</v>
      </c>
      <c r="E69" s="16" t="n">
        <f aca="false">-E63*$C$52</f>
        <v>-89.3076912</v>
      </c>
      <c r="F69" s="16" t="n">
        <f aca="false">-F63*$C$52</f>
        <v>-92.879998848</v>
      </c>
      <c r="G69" s="16" t="n">
        <f aca="false">-G63*$C$52</f>
        <v>-96.59519880192</v>
      </c>
      <c r="H69" s="16" t="n">
        <f aca="false">-H63*$C$52</f>
        <v>-100.459006753997</v>
      </c>
      <c r="I69" s="16" t="n">
        <f aca="false">-I63*$C$52</f>
        <v>-104.477367024157</v>
      </c>
      <c r="J69" s="16" t="n">
        <f aca="false">-J63*$C$52</f>
        <v>-108.656461705123</v>
      </c>
      <c r="K69" s="16" t="n">
        <f aca="false">-K63*$C$52</f>
        <v>-113.002720173328</v>
      </c>
      <c r="L69" s="16" t="n">
        <f aca="false">-L63*$C$52</f>
        <v>-117.522828980261</v>
      </c>
      <c r="M69" s="16" t="n">
        <f aca="false">-M63*$C$52</f>
        <v>-122.223742139471</v>
      </c>
      <c r="N69" s="16" t="n">
        <f aca="false">-N63*$C$52</f>
        <v>-127.11269182505</v>
      </c>
      <c r="O69" s="16" t="n">
        <f aca="false">-O63*$C$52</f>
        <v>-132.197199498052</v>
      </c>
      <c r="P69" s="16" t="n">
        <f aca="false">-P63*$C$52</f>
        <v>-137.485087477974</v>
      </c>
      <c r="Q69" s="16" t="n">
        <f aca="false">-Q63*$C$52</f>
        <v>-142.984490977093</v>
      </c>
      <c r="R69" s="16" t="n">
        <f aca="false">-R63*$C$52</f>
        <v>-148.703870616177</v>
      </c>
      <c r="S69" s="16" t="n">
        <f aca="false">-S63*$C$52</f>
        <v>-154.652025440824</v>
      </c>
      <c r="T69" s="16" t="n">
        <f aca="false">-T63*$C$52</f>
        <v>-160.838106458457</v>
      </c>
      <c r="U69" s="16" t="n">
        <f aca="false">-U63*$C$52</f>
        <v>-167.271630716796</v>
      </c>
      <c r="V69" s="16" t="n">
        <f aca="false">-V63*$C$52</f>
        <v>-173.962495945467</v>
      </c>
      <c r="W69" s="16" t="n">
        <f aca="false">-W63*$C$52</f>
        <v>-180.920995783286</v>
      </c>
      <c r="X69" s="16" t="n">
        <f aca="false">-X63*$C$52</f>
        <v>-188.157835614617</v>
      </c>
      <c r="Y69" s="16" t="n">
        <f aca="false">-Y63*$C$52</f>
        <v>-195.684149039202</v>
      </c>
      <c r="Z69" s="16" t="n">
        <f aca="false">-Z63*$C$52</f>
        <v>-203.51151500077</v>
      </c>
      <c r="AA69" s="16" t="n">
        <f aca="false">-AA63*$C$52</f>
        <v>-211.651975600801</v>
      </c>
      <c r="AB69" s="16" t="n">
        <f aca="false">-AB63*$C$52</f>
        <v>-220.118054624833</v>
      </c>
      <c r="AC69" s="16" t="n">
        <f aca="false">-AC63*$C$52</f>
        <v>-228.922776809826</v>
      </c>
      <c r="AD69" s="16" t="n">
        <f aca="false">-AD63*$C$52</f>
        <v>-238.07968788222</v>
      </c>
      <c r="AE69" s="16" t="n">
        <f aca="false">-AE63*$C$52</f>
        <v>-247.602875397508</v>
      </c>
      <c r="AF69" s="16" t="n">
        <f aca="false">-AF63*$C$52</f>
        <v>-257.506990413409</v>
      </c>
      <c r="AG69" s="16" t="n">
        <f aca="false">-AG63*$C$52</f>
        <v>-267.807270029945</v>
      </c>
      <c r="AH69" s="16" t="n">
        <f aca="false">-AH63*$C$52</f>
        <v>-278.519560831143</v>
      </c>
      <c r="AI69" s="16" t="n">
        <f aca="false">-AI63*$C$52</f>
        <v>-289.660343264389</v>
      </c>
      <c r="AJ69" s="16" t="n">
        <f aca="false">-AJ63*$C$52</f>
        <v>-301.246756994964</v>
      </c>
      <c r="AK69" s="16" t="n">
        <f aca="false">-AK63*$C$52</f>
        <v>-313.296627274763</v>
      </c>
      <c r="AL69" s="16" t="n">
        <f aca="false">-AL63*$C$52</f>
        <v>-325.828492365753</v>
      </c>
      <c r="AM69" s="16" t="n">
        <f aca="false">-AM63*$C$52</f>
        <v>-338.861632060383</v>
      </c>
      <c r="AN69" s="16" t="n">
        <f aca="false">-AN63*$C$52</f>
        <v>-352.416097342799</v>
      </c>
      <c r="AO69" s="16" t="n">
        <f aca="false">-AO63*$C$52</f>
        <v>-366.512741236511</v>
      </c>
      <c r="AP69" s="16" t="n">
        <f aca="false">-AP63*$C$52</f>
        <v>-381.173250885971</v>
      </c>
      <c r="AQ69" s="16" t="n">
        <f aca="false">-AQ63*$C$52</f>
        <v>-396.42018092141</v>
      </c>
      <c r="AR69" s="16" t="n">
        <f aca="false">-AR63*$C$52</f>
        <v>-412.276988158266</v>
      </c>
      <c r="AS69" s="16" t="n">
        <f aca="false">-AS63*$C$52</f>
        <v>-428.768067684597</v>
      </c>
      <c r="AT69" s="16" t="n">
        <f aca="false">-AT63*$C$52</f>
        <v>-445.918790391981</v>
      </c>
      <c r="AU69" s="16" t="n">
        <f aca="false">-AU63*$C$52</f>
        <v>-463.75554200766</v>
      </c>
      <c r="AV69" s="16" t="n">
        <f aca="false">-AV63*$C$52</f>
        <v>-482.305763687967</v>
      </c>
    </row>
    <row r="70" customFormat="false" ht="15" hidden="false" customHeight="false" outlineLevel="0" collapsed="false">
      <c r="B70" s="7" t="s">
        <v>145</v>
      </c>
      <c r="D70" s="16" t="n">
        <f aca="false">-D63*$C$53</f>
        <v>-3.099168</v>
      </c>
      <c r="E70" s="16" t="n">
        <f aca="false">-E63*$C$53</f>
        <v>-3.22313472</v>
      </c>
      <c r="F70" s="16" t="n">
        <f aca="false">-F63*$C$53</f>
        <v>-3.3520601088</v>
      </c>
      <c r="G70" s="16" t="n">
        <f aca="false">-G63*$C$53</f>
        <v>-3.486142513152</v>
      </c>
      <c r="H70" s="16" t="n">
        <f aca="false">-H63*$C$53</f>
        <v>-3.62558821367808</v>
      </c>
      <c r="I70" s="16" t="n">
        <f aca="false">-I63*$C$53</f>
        <v>-3.7706117422252</v>
      </c>
      <c r="J70" s="16" t="n">
        <f aca="false">-J63*$C$53</f>
        <v>-3.92143621191421</v>
      </c>
      <c r="K70" s="16" t="n">
        <f aca="false">-K63*$C$53</f>
        <v>-4.07829366039078</v>
      </c>
      <c r="L70" s="16" t="n">
        <f aca="false">-L63*$C$53</f>
        <v>-4.24142540680641</v>
      </c>
      <c r="M70" s="16" t="n">
        <f aca="false">-M63*$C$53</f>
        <v>-4.41108242307867</v>
      </c>
      <c r="N70" s="16" t="n">
        <f aca="false">-N63*$C$53</f>
        <v>-4.58752572000181</v>
      </c>
      <c r="O70" s="16" t="n">
        <f aca="false">-O63*$C$53</f>
        <v>-4.77102674880189</v>
      </c>
      <c r="P70" s="16" t="n">
        <f aca="false">-P63*$C$53</f>
        <v>-4.96186781875396</v>
      </c>
      <c r="Q70" s="16" t="n">
        <f aca="false">-Q63*$C$53</f>
        <v>-5.16034253150412</v>
      </c>
      <c r="R70" s="16" t="n">
        <f aca="false">-R63*$C$53</f>
        <v>-5.36675623276429</v>
      </c>
      <c r="S70" s="16" t="n">
        <f aca="false">-S63*$C$53</f>
        <v>-5.58142648207486</v>
      </c>
      <c r="T70" s="16" t="n">
        <f aca="false">-T63*$C$53</f>
        <v>-5.80468354135785</v>
      </c>
      <c r="U70" s="16" t="n">
        <f aca="false">-U63*$C$53</f>
        <v>-6.03687088301217</v>
      </c>
      <c r="V70" s="16" t="n">
        <f aca="false">-V63*$C$53</f>
        <v>-6.27834571833265</v>
      </c>
      <c r="W70" s="16" t="n">
        <f aca="false">-W63*$C$53</f>
        <v>-6.52947954706596</v>
      </c>
      <c r="X70" s="16" t="n">
        <f aca="false">-X63*$C$53</f>
        <v>-6.7906587289486</v>
      </c>
      <c r="Y70" s="16" t="n">
        <f aca="false">-Y63*$C$53</f>
        <v>-7.06228507810654</v>
      </c>
      <c r="Z70" s="16" t="n">
        <f aca="false">-Z63*$C$53</f>
        <v>-7.34477648123081</v>
      </c>
      <c r="AA70" s="16" t="n">
        <f aca="false">-AA63*$C$53</f>
        <v>-7.63856754048004</v>
      </c>
      <c r="AB70" s="16" t="n">
        <f aca="false">-AB63*$C$53</f>
        <v>-7.94411024209924</v>
      </c>
      <c r="AC70" s="16" t="n">
        <f aca="false">-AC63*$C$53</f>
        <v>-8.26187465178321</v>
      </c>
      <c r="AD70" s="16" t="n">
        <f aca="false">-AD63*$C$53</f>
        <v>-8.59234963785454</v>
      </c>
      <c r="AE70" s="16" t="n">
        <f aca="false">-AE63*$C$53</f>
        <v>-8.93604362336872</v>
      </c>
      <c r="AF70" s="16" t="n">
        <f aca="false">-AF63*$C$53</f>
        <v>-9.29348536830347</v>
      </c>
      <c r="AG70" s="16" t="n">
        <f aca="false">-AG63*$C$53</f>
        <v>-9.66522478303561</v>
      </c>
      <c r="AH70" s="16" t="n">
        <f aca="false">-AH63*$C$53</f>
        <v>-10.051833774357</v>
      </c>
      <c r="AI70" s="16" t="n">
        <f aca="false">-AI63*$C$53</f>
        <v>-10.4539071253313</v>
      </c>
      <c r="AJ70" s="16" t="n">
        <f aca="false">-AJ63*$C$53</f>
        <v>-10.8720634103446</v>
      </c>
      <c r="AK70" s="16" t="n">
        <f aca="false">-AK63*$C$53</f>
        <v>-11.3069459467583</v>
      </c>
      <c r="AL70" s="16" t="n">
        <f aca="false">-AL63*$C$53</f>
        <v>-11.7592237846287</v>
      </c>
      <c r="AM70" s="16" t="n">
        <f aca="false">-AM63*$C$53</f>
        <v>-12.2295927360138</v>
      </c>
      <c r="AN70" s="16" t="n">
        <f aca="false">-AN63*$C$53</f>
        <v>-12.7187764454544</v>
      </c>
      <c r="AO70" s="16" t="n">
        <f aca="false">-AO63*$C$53</f>
        <v>-13.2275275032726</v>
      </c>
      <c r="AP70" s="16" t="n">
        <f aca="false">-AP63*$C$53</f>
        <v>-13.7566286034035</v>
      </c>
      <c r="AQ70" s="16" t="n">
        <f aca="false">-AQ63*$C$53</f>
        <v>-14.3068937475396</v>
      </c>
      <c r="AR70" s="16" t="n">
        <f aca="false">-AR63*$C$53</f>
        <v>-14.8791694974412</v>
      </c>
      <c r="AS70" s="16" t="n">
        <f aca="false">-AS63*$C$53</f>
        <v>-15.4743362773388</v>
      </c>
      <c r="AT70" s="16" t="n">
        <f aca="false">-AT63*$C$53</f>
        <v>-16.0933097284324</v>
      </c>
      <c r="AU70" s="16" t="n">
        <f aca="false">-AU63*$C$53</f>
        <v>-16.7370421175697</v>
      </c>
      <c r="AV70" s="16" t="n">
        <f aca="false">-AV63*$C$53</f>
        <v>-17.4065238022725</v>
      </c>
    </row>
    <row r="71" customFormat="false" ht="15" hidden="false" customHeight="false" outlineLevel="0" collapsed="false">
      <c r="B71" s="12" t="s">
        <v>146</v>
      </c>
      <c r="D71" s="38" t="n">
        <f aca="false">(D64+D68+D69+D70)*D62</f>
        <v>103.031509016022</v>
      </c>
      <c r="E71" s="38" t="n">
        <f aca="false">(E64+E68+E69+E70)*E62</f>
        <v>243.80878830048</v>
      </c>
      <c r="F71" s="38" t="n">
        <f aca="false">(F64+F68+F69+F70)*F62</f>
        <v>254.255827886835</v>
      </c>
      <c r="G71" s="38" t="n">
        <f aca="false">(G64+G68+G69+G70)*G62</f>
        <v>263.703585425799</v>
      </c>
      <c r="H71" s="38" t="n">
        <f aca="false">(H64+H68+H69+H70)*H62</f>
        <v>274.251728842831</v>
      </c>
      <c r="I71" s="38" t="n">
        <f aca="false">(I64+I68+I69+I70)*I62</f>
        <v>285.221797996544</v>
      </c>
      <c r="J71" s="38" t="n">
        <f aca="false">(J64+J68+J69+J70)*J62</f>
        <v>297.4433566833</v>
      </c>
      <c r="K71" s="38" t="n">
        <f aca="false">(K64+K68+K69+K70)*K62</f>
        <v>308.495896713062</v>
      </c>
      <c r="L71" s="38" t="n">
        <f aca="false">(L64+L68+L69+L70)*L62</f>
        <v>320.835732581585</v>
      </c>
      <c r="M71" s="38" t="n">
        <f aca="false">(M64+M68+M69+M70)*M62</f>
        <v>333.669161884848</v>
      </c>
      <c r="N71" s="38" t="n">
        <f aca="false">(N64+N68+N69+N70)*N62</f>
        <v>347.966656931092</v>
      </c>
      <c r="O71" s="38" t="n">
        <f aca="false">(O64+O68+O69+O70)*O62</f>
        <v>360.896565494652</v>
      </c>
      <c r="P71" s="38" t="n">
        <f aca="false">(P64+P68+P69+P70)*P62</f>
        <v>375.332428114438</v>
      </c>
      <c r="Q71" s="38" t="n">
        <f aca="false">(Q64+Q68+Q69+Q70)*Q62</f>
        <v>390.345725239016</v>
      </c>
      <c r="R71" s="38" t="n">
        <f aca="false">(R64+R68+R69+R70)*R62</f>
        <v>407.071772205422</v>
      </c>
      <c r="S71" s="38" t="n">
        <f aca="false">(S64+S68+S69+S70)*S62</f>
        <v>422.197936418519</v>
      </c>
      <c r="T71" s="38" t="n">
        <f aca="false">(T64+T68+T69+T70)*T62</f>
        <v>439.08585387526</v>
      </c>
      <c r="U71" s="38" t="n">
        <f aca="false">(U64+U68+U69+U70)*U62</f>
        <v>456.649288030271</v>
      </c>
      <c r="V71" s="38" t="n">
        <f aca="false">(V64+V68+V69+V70)*V62</f>
        <v>476.216397248883</v>
      </c>
      <c r="W71" s="38" t="n">
        <f aca="false">(W64+W68+W69+W70)*W62</f>
        <v>493.911869933541</v>
      </c>
      <c r="X71" s="38" t="n">
        <f aca="false">(X64+X68+X69+X70)*X62</f>
        <v>513.668344730882</v>
      </c>
      <c r="Y71" s="38" t="n">
        <f aca="false">(Y64+Y68+Y69+Y70)*Y62</f>
        <v>534.215078520118</v>
      </c>
      <c r="Z71" s="38" t="n">
        <f aca="false">(Z64+Z68+Z69+Z70)*Z62</f>
        <v>557.105828733966</v>
      </c>
      <c r="AA71" s="38" t="n">
        <f aca="false">(AA64+AA68+AA69+AA70)*AA62</f>
        <v>0</v>
      </c>
      <c r="AB71" s="38" t="n">
        <f aca="false">(AB64+AB68+AB69+AB70)*AB62</f>
        <v>0</v>
      </c>
      <c r="AC71" s="38" t="n">
        <f aca="false">(AC64+AC68+AC69+AC70)*AC62</f>
        <v>0</v>
      </c>
      <c r="AD71" s="38" t="n">
        <f aca="false">(AD64+AD68+AD69+AD70)*AD62</f>
        <v>0</v>
      </c>
      <c r="AE71" s="38" t="n">
        <f aca="false">(AE64+AE68+AE69+AE70)*AE62</f>
        <v>0</v>
      </c>
      <c r="AF71" s="38" t="n">
        <f aca="false">(AF64+AF68+AF69+AF70)*AF62</f>
        <v>0</v>
      </c>
      <c r="AG71" s="38" t="n">
        <f aca="false">(AG64+AG68+AG69+AG70)*AG62</f>
        <v>0</v>
      </c>
      <c r="AH71" s="38" t="n">
        <f aca="false">(AH64+AH68+AH69+AH70)*AH62</f>
        <v>0</v>
      </c>
      <c r="AI71" s="38" t="n">
        <f aca="false">(AI64+AI68+AI69+AI70)*AI62</f>
        <v>0</v>
      </c>
      <c r="AJ71" s="38" t="n">
        <f aca="false">(AJ64+AJ68+AJ69+AJ70)*AJ62</f>
        <v>0</v>
      </c>
      <c r="AK71" s="38" t="n">
        <f aca="false">(AK64+AK68+AK69+AK70)*AK62</f>
        <v>0</v>
      </c>
      <c r="AL71" s="38" t="n">
        <f aca="false">(AL64+AL68+AL69+AL70)*AL62</f>
        <v>0</v>
      </c>
      <c r="AM71" s="38" t="n">
        <f aca="false">(AM64+AM68+AM69+AM70)*AM62</f>
        <v>0</v>
      </c>
      <c r="AN71" s="38" t="n">
        <f aca="false">(AN64+AN68+AN69+AN70)*AN62</f>
        <v>0</v>
      </c>
      <c r="AO71" s="38" t="n">
        <f aca="false">(AO64+AO68+AO69+AO70)*AO62</f>
        <v>0</v>
      </c>
      <c r="AP71" s="38" t="n">
        <f aca="false">(AP64+AP68+AP69+AP70)*AP62</f>
        <v>0</v>
      </c>
      <c r="AQ71" s="38" t="n">
        <f aca="false">(AQ64+AQ68+AQ69+AQ70)*AQ62</f>
        <v>0</v>
      </c>
      <c r="AR71" s="38" t="n">
        <f aca="false">(AR64+AR68+AR69+AR70)*AR62</f>
        <v>0</v>
      </c>
      <c r="AS71" s="38" t="n">
        <f aca="false">(AS64+AS68+AS69+AS70)*AS62</f>
        <v>0</v>
      </c>
      <c r="AT71" s="38" t="n">
        <f aca="false">(AT64+AT68+AT69+AT70)*AT62</f>
        <v>0</v>
      </c>
      <c r="AU71" s="38" t="n">
        <f aca="false">(AU64+AU68+AU69+AU70)*AU62</f>
        <v>0</v>
      </c>
      <c r="AV71" s="38" t="n">
        <f aca="false">(AV64+AV68+AV69+AV70)*AV62</f>
        <v>0</v>
      </c>
    </row>
    <row r="72" customFormat="false" ht="15" hidden="false" customHeight="false" outlineLevel="0" collapsed="false">
      <c r="B72" s="7" t="s">
        <v>147</v>
      </c>
      <c r="D72" s="37" t="n">
        <f aca="false">((MAX(Inputs!$C$5+1,DATE(D$61,1,1))+DATE(D$61,12,31))/2-Inputs!$C$5)/365</f>
        <v>0.253424657534247</v>
      </c>
      <c r="E72" s="37" t="n">
        <f aca="false">((MAX(Inputs!$C$5+1,DATE(E$61,1,1))+DATE(E$61,12,31))/2-Inputs!$C$5)/365</f>
        <v>1.00547945205479</v>
      </c>
      <c r="F72" s="37" t="n">
        <f aca="false">((MAX(Inputs!$C$5+1,DATE(F$61,1,1))+DATE(F$61,12,31))/2-Inputs!$C$5)/365</f>
        <v>2.00684931506849</v>
      </c>
      <c r="G72" s="37" t="n">
        <f aca="false">((MAX(Inputs!$C$5+1,DATE(G$61,1,1))+DATE(G$61,12,31))/2-Inputs!$C$5)/365</f>
        <v>3.00821917808219</v>
      </c>
      <c r="H72" s="37" t="n">
        <f aca="false">((MAX(Inputs!$C$5+1,DATE(H$61,1,1))+DATE(H$61,12,31))/2-Inputs!$C$5)/365</f>
        <v>4.00821917808219</v>
      </c>
      <c r="I72" s="37" t="n">
        <f aca="false">((MAX(Inputs!$C$5+1,DATE(I$61,1,1))+DATE(I$61,12,31))/2-Inputs!$C$5)/365</f>
        <v>5.00821917808219</v>
      </c>
      <c r="J72" s="37" t="n">
        <f aca="false">((MAX(Inputs!$C$5+1,DATE(J$61,1,1))+DATE(J$61,12,31))/2-Inputs!$C$5)/365</f>
        <v>6.00958904109589</v>
      </c>
      <c r="K72" s="37" t="n">
        <f aca="false">((MAX(Inputs!$C$5+1,DATE(K$61,1,1))+DATE(K$61,12,31))/2-Inputs!$C$5)/365</f>
        <v>7.01095890410959</v>
      </c>
      <c r="L72" s="37" t="n">
        <f aca="false">((MAX(Inputs!$C$5+1,DATE(L$61,1,1))+DATE(L$61,12,31))/2-Inputs!$C$5)/365</f>
        <v>8.01095890410959</v>
      </c>
      <c r="M72" s="37" t="n">
        <f aca="false">((MAX(Inputs!$C$5+1,DATE(M$61,1,1))+DATE(M$61,12,31))/2-Inputs!$C$5)/365</f>
        <v>9.01095890410959</v>
      </c>
      <c r="N72" s="37" t="n">
        <f aca="false">((MAX(Inputs!$C$5+1,DATE(N$61,1,1))+DATE(N$61,12,31))/2-Inputs!$C$5)/365</f>
        <v>10.0123287671233</v>
      </c>
      <c r="O72" s="37" t="n">
        <f aca="false">((MAX(Inputs!$C$5+1,DATE(O$61,1,1))+DATE(O$61,12,31))/2-Inputs!$C$5)/365</f>
        <v>11.013698630137</v>
      </c>
      <c r="P72" s="37" t="n">
        <f aca="false">((MAX(Inputs!$C$5+1,DATE(P$61,1,1))+DATE(P$61,12,31))/2-Inputs!$C$5)/365</f>
        <v>12.013698630137</v>
      </c>
      <c r="Q72" s="37" t="n">
        <f aca="false">((MAX(Inputs!$C$5+1,DATE(Q$61,1,1))+DATE(Q$61,12,31))/2-Inputs!$C$5)/365</f>
        <v>13.013698630137</v>
      </c>
      <c r="R72" s="37" t="n">
        <f aca="false">((MAX(Inputs!$C$5+1,DATE(R$61,1,1))+DATE(R$61,12,31))/2-Inputs!$C$5)/365</f>
        <v>14.0150684931507</v>
      </c>
      <c r="S72" s="37" t="n">
        <f aca="false">((MAX(Inputs!$C$5+1,DATE(S$61,1,1))+DATE(S$61,12,31))/2-Inputs!$C$5)/365</f>
        <v>15.0164383561644</v>
      </c>
      <c r="T72" s="37" t="n">
        <f aca="false">((MAX(Inputs!$C$5+1,DATE(T$61,1,1))+DATE(T$61,12,31))/2-Inputs!$C$5)/365</f>
        <v>16.0164383561644</v>
      </c>
      <c r="U72" s="37" t="n">
        <f aca="false">((MAX(Inputs!$C$5+1,DATE(U$61,1,1))+DATE(U$61,12,31))/2-Inputs!$C$5)/365</f>
        <v>17.0164383561644</v>
      </c>
      <c r="V72" s="37" t="n">
        <f aca="false">((MAX(Inputs!$C$5+1,DATE(V$61,1,1))+DATE(V$61,12,31))/2-Inputs!$C$5)/365</f>
        <v>18.0178082191781</v>
      </c>
      <c r="W72" s="37" t="n">
        <f aca="false">((MAX(Inputs!$C$5+1,DATE(W$61,1,1))+DATE(W$61,12,31))/2-Inputs!$C$5)/365</f>
        <v>19.0191780821918</v>
      </c>
      <c r="X72" s="37" t="n">
        <f aca="false">((MAX(Inputs!$C$5+1,DATE(X$61,1,1))+DATE(X$61,12,31))/2-Inputs!$C$5)/365</f>
        <v>20.0191780821918</v>
      </c>
      <c r="Y72" s="37" t="n">
        <f aca="false">((MAX(Inputs!$C$5+1,DATE(Y$61,1,1))+DATE(Y$61,12,31))/2-Inputs!$C$5)/365</f>
        <v>21.0191780821918</v>
      </c>
      <c r="Z72" s="37" t="n">
        <f aca="false">((MAX(Inputs!$C$5+1,DATE(Z$61,1,1))+DATE(Z$61,12,31))/2-Inputs!$C$5)/365</f>
        <v>22.0205479452055</v>
      </c>
      <c r="AA72" s="37" t="n">
        <f aca="false">((MAX(Inputs!$C$5+1,DATE(AA$61,1,1))+DATE(AA$61,12,31))/2-Inputs!$C$5)/365</f>
        <v>23.0219178082192</v>
      </c>
      <c r="AB72" s="37" t="n">
        <f aca="false">((MAX(Inputs!$C$5+1,DATE(AB$61,1,1))+DATE(AB$61,12,31))/2-Inputs!$C$5)/365</f>
        <v>24.0219178082192</v>
      </c>
      <c r="AC72" s="37" t="n">
        <f aca="false">((MAX(Inputs!$C$5+1,DATE(AC$61,1,1))+DATE(AC$61,12,31))/2-Inputs!$C$5)/365</f>
        <v>25.0219178082192</v>
      </c>
      <c r="AD72" s="37" t="n">
        <f aca="false">((MAX(Inputs!$C$5+1,DATE(AD$61,1,1))+DATE(AD$61,12,31))/2-Inputs!$C$5)/365</f>
        <v>26.0232876712329</v>
      </c>
      <c r="AE72" s="37" t="n">
        <f aca="false">((MAX(Inputs!$C$5+1,DATE(AE$61,1,1))+DATE(AE$61,12,31))/2-Inputs!$C$5)/365</f>
        <v>27.0246575342466</v>
      </c>
      <c r="AF72" s="37" t="n">
        <f aca="false">((MAX(Inputs!$C$5+1,DATE(AF$61,1,1))+DATE(AF$61,12,31))/2-Inputs!$C$5)/365</f>
        <v>28.0246575342466</v>
      </c>
      <c r="AG72" s="37" t="n">
        <f aca="false">((MAX(Inputs!$C$5+1,DATE(AG$61,1,1))+DATE(AG$61,12,31))/2-Inputs!$C$5)/365</f>
        <v>29.0246575342466</v>
      </c>
      <c r="AH72" s="37" t="n">
        <f aca="false">((MAX(Inputs!$C$5+1,DATE(AH$61,1,1))+DATE(AH$61,12,31))/2-Inputs!$C$5)/365</f>
        <v>30.0260273972603</v>
      </c>
      <c r="AI72" s="37" t="n">
        <f aca="false">((MAX(Inputs!$C$5+1,DATE(AI$61,1,1))+DATE(AI$61,12,31))/2-Inputs!$C$5)/365</f>
        <v>31.027397260274</v>
      </c>
      <c r="AJ72" s="37" t="n">
        <f aca="false">((MAX(Inputs!$C$5+1,DATE(AJ$61,1,1))+DATE(AJ$61,12,31))/2-Inputs!$C$5)/365</f>
        <v>32.027397260274</v>
      </c>
      <c r="AK72" s="37" t="n">
        <f aca="false">((MAX(Inputs!$C$5+1,DATE(AK$61,1,1))+DATE(AK$61,12,31))/2-Inputs!$C$5)/365</f>
        <v>33.027397260274</v>
      </c>
      <c r="AL72" s="37" t="n">
        <f aca="false">((MAX(Inputs!$C$5+1,DATE(AL$61,1,1))+DATE(AL$61,12,31))/2-Inputs!$C$5)/365</f>
        <v>34.0287671232877</v>
      </c>
      <c r="AM72" s="37" t="n">
        <f aca="false">((MAX(Inputs!$C$5+1,DATE(AM$61,1,1))+DATE(AM$61,12,31))/2-Inputs!$C$5)/365</f>
        <v>35.0301369863014</v>
      </c>
      <c r="AN72" s="37" t="n">
        <f aca="false">((MAX(Inputs!$C$5+1,DATE(AN$61,1,1))+DATE(AN$61,12,31))/2-Inputs!$C$5)/365</f>
        <v>36.0301369863014</v>
      </c>
      <c r="AO72" s="37" t="n">
        <f aca="false">((MAX(Inputs!$C$5+1,DATE(AO$61,1,1))+DATE(AO$61,12,31))/2-Inputs!$C$5)/365</f>
        <v>37.0301369863014</v>
      </c>
      <c r="AP72" s="37" t="n">
        <f aca="false">((MAX(Inputs!$C$5+1,DATE(AP$61,1,1))+DATE(AP$61,12,31))/2-Inputs!$C$5)/365</f>
        <v>38.0315068493151</v>
      </c>
      <c r="AQ72" s="37" t="n">
        <f aca="false">((MAX(Inputs!$C$5+1,DATE(AQ$61,1,1))+DATE(AQ$61,12,31))/2-Inputs!$C$5)/365</f>
        <v>39.0328767123288</v>
      </c>
      <c r="AR72" s="37" t="n">
        <f aca="false">((MAX(Inputs!$C$5+1,DATE(AR$61,1,1))+DATE(AR$61,12,31))/2-Inputs!$C$5)/365</f>
        <v>40.0328767123288</v>
      </c>
      <c r="AS72" s="37" t="n">
        <f aca="false">((MAX(Inputs!$C$5+1,DATE(AS$61,1,1))+DATE(AS$61,12,31))/2-Inputs!$C$5)/365</f>
        <v>41.0328767123288</v>
      </c>
      <c r="AT72" s="37" t="n">
        <f aca="false">((MAX(Inputs!$C$5+1,DATE(AT$61,1,1))+DATE(AT$61,12,31))/2-Inputs!$C$5)/365</f>
        <v>42.0342465753425</v>
      </c>
      <c r="AU72" s="37" t="n">
        <f aca="false">((MAX(Inputs!$C$5+1,DATE(AU$61,1,1))+DATE(AU$61,12,31))/2-Inputs!$C$5)/365</f>
        <v>43.0356164383562</v>
      </c>
      <c r="AV72" s="37" t="n">
        <f aca="false">((MAX(Inputs!$C$5+1,DATE(AV$61,1,1))+DATE(AV$61,12,31))/2-Inputs!$C$5)/365</f>
        <v>44.0356164383562</v>
      </c>
    </row>
    <row r="73" customFormat="false" ht="15" hidden="false" customHeight="false" outlineLevel="0" collapsed="false">
      <c r="B73" s="7" t="s">
        <v>148</v>
      </c>
      <c r="D73" s="39" t="n">
        <f aca="false">1/(1+$C$54)^D72</f>
        <v>0.977263076550537</v>
      </c>
      <c r="E73" s="39" t="n">
        <f aca="false">1/(1+$C$54)^E72</f>
        <v>0.912787981226477</v>
      </c>
      <c r="F73" s="39" t="n">
        <f aca="false">1/(1+$C$54)^F72</f>
        <v>0.833492702761526</v>
      </c>
      <c r="G73" s="39" t="n">
        <f aca="false">1/(1+$C$54)^G72</f>
        <v>0.761085925587297</v>
      </c>
      <c r="H73" s="39" t="n">
        <f aca="false">1/(1+$C$54)^H72</f>
        <v>0.695055639805751</v>
      </c>
      <c r="I73" s="39" t="n">
        <f aca="false">1/(1+$C$54)^I72</f>
        <v>0.634754008955024</v>
      </c>
      <c r="J73" s="39" t="n">
        <f aca="false">1/(1+$C$54)^J72</f>
        <v>0.579611963998207</v>
      </c>
      <c r="K73" s="39" t="n">
        <f aca="false">1/(1+$C$54)^K72</f>
        <v>0.529260192248211</v>
      </c>
      <c r="L73" s="39" t="n">
        <f aca="false">1/(1+$C$54)^L72</f>
        <v>0.483342641322567</v>
      </c>
      <c r="M73" s="39" t="n">
        <f aca="false">1/(1+$C$54)^M72</f>
        <v>0.441408804860792</v>
      </c>
      <c r="N73" s="39" t="n">
        <f aca="false">1/(1+$C$54)^N72</f>
        <v>0.403062951477307</v>
      </c>
      <c r="O73" s="39" t="n">
        <f aca="false">1/(1+$C$54)^O72</f>
        <v>0.368048260625053</v>
      </c>
      <c r="P73" s="39" t="n">
        <f aca="false">1/(1+$C$54)^P72</f>
        <v>0.336117132990916</v>
      </c>
      <c r="Q73" s="39" t="n">
        <f aca="false">1/(1+$C$54)^Q72</f>
        <v>0.306956285836453</v>
      </c>
      <c r="R73" s="39" t="n">
        <f aca="false">1/(1+$C$54)^R72</f>
        <v>0.280290527015589</v>
      </c>
      <c r="S73" s="39" t="n">
        <f aca="false">1/(1+$C$54)^S72</f>
        <v>0.255941263169098</v>
      </c>
      <c r="T73" s="39" t="n">
        <f aca="false">1/(1+$C$54)^T72</f>
        <v>0.233736313396437</v>
      </c>
      <c r="U73" s="39" t="n">
        <f aca="false">1/(1+$C$54)^U72</f>
        <v>0.213457820453367</v>
      </c>
      <c r="V73" s="39" t="n">
        <f aca="false">1/(1+$C$54)^V72</f>
        <v>0.194914415345613</v>
      </c>
      <c r="W73" s="39" t="n">
        <f aca="false">1/(1+$C$54)^W72</f>
        <v>0.177981904007223</v>
      </c>
      <c r="X73" s="39" t="n">
        <f aca="false">1/(1+$C$54)^X72</f>
        <v>0.16254055160477</v>
      </c>
      <c r="Y73" s="39" t="n">
        <f aca="false">1/(1+$C$54)^Y72</f>
        <v>0.148438859913032</v>
      </c>
      <c r="Z73" s="39" t="n">
        <f aca="false">1/(1+$C$54)^Z72</f>
        <v>0.135543750671992</v>
      </c>
      <c r="AA73" s="39" t="n">
        <f aca="false">1/(1+$C$54)^AA72</f>
        <v>0.123768859158545</v>
      </c>
      <c r="AB73" s="39" t="n">
        <f aca="false">1/(1+$C$54)^AB72</f>
        <v>0.113030921605978</v>
      </c>
      <c r="AC73" s="39" t="n">
        <f aca="false">1/(1+$C$54)^AC72</f>
        <v>0.103224585941532</v>
      </c>
      <c r="AD73" s="39" t="n">
        <f aca="false">1/(1+$C$54)^AD72</f>
        <v>0.0942573093614165</v>
      </c>
      <c r="AE73" s="39" t="n">
        <f aca="false">1/(1+$C$54)^AE72</f>
        <v>0.0860690337192155</v>
      </c>
      <c r="AF73" s="39" t="n">
        <f aca="false">1/(1+$C$54)^AF72</f>
        <v>0.0786018572778224</v>
      </c>
      <c r="AG73" s="39" t="n">
        <f aca="false">1/(1+$C$54)^AG72</f>
        <v>0.0717825180619383</v>
      </c>
      <c r="AH73" s="39" t="n">
        <f aca="false">1/(1+$C$54)^AH72</f>
        <v>0.0655466616793984</v>
      </c>
      <c r="AI73" s="39" t="n">
        <f aca="false">1/(1+$C$54)^AI72</f>
        <v>0.0598525236131499</v>
      </c>
      <c r="AJ73" s="39" t="n">
        <f aca="false">1/(1+$C$54)^AJ72</f>
        <v>0.0546598389161186</v>
      </c>
      <c r="AK73" s="39" t="n">
        <f aca="false">1/(1+$C$54)^AK72</f>
        <v>0.0499176611106106</v>
      </c>
      <c r="AL73" s="39" t="n">
        <f aca="false">1/(1+$C$54)^AL72</f>
        <v>0.0455812380644105</v>
      </c>
      <c r="AM73" s="39" t="n">
        <f aca="false">1/(1+$C$54)^AM72</f>
        <v>0.0416215266753121</v>
      </c>
      <c r="AN73" s="39" t="n">
        <f aca="false">1/(1+$C$54)^AN72</f>
        <v>0.0380105266441206</v>
      </c>
      <c r="AO73" s="39" t="n">
        <f aca="false">1/(1+$C$54)^AO72</f>
        <v>0.0347128097206581</v>
      </c>
      <c r="AP73" s="39" t="n">
        <f aca="false">1/(1+$C$54)^AP72</f>
        <v>0.0316972552110534</v>
      </c>
      <c r="AQ73" s="39" t="n">
        <f aca="false">1/(1+$C$54)^AQ72</f>
        <v>0.0289436665023613</v>
      </c>
      <c r="AR73" s="39" t="n">
        <f aca="false">1/(1+$C$54)^AR72</f>
        <v>0.0264325721482752</v>
      </c>
      <c r="AS73" s="39" t="n">
        <f aca="false">1/(1+$C$54)^AS72</f>
        <v>0.0241393352952285</v>
      </c>
      <c r="AT73" s="39" t="n">
        <f aca="false">1/(1+$C$54)^AT72</f>
        <v>0.0220423145701944</v>
      </c>
      <c r="AU73" s="39" t="n">
        <f aca="false">1/(1+$C$54)^AU72</f>
        <v>0.0201274652209434</v>
      </c>
      <c r="AV73" s="39" t="n">
        <f aca="false">1/(1+$C$54)^AV72</f>
        <v>0.0183812467771173</v>
      </c>
    </row>
    <row r="74" customFormat="false" ht="15" hidden="false" customHeight="false" outlineLevel="0" collapsed="false">
      <c r="B74" s="12" t="s">
        <v>149</v>
      </c>
      <c r="D74" s="40" t="n">
        <f aca="false">D71*D73</f>
        <v>100.688889482642</v>
      </c>
      <c r="E74" s="40" t="n">
        <f aca="false">E71*E73</f>
        <v>222.545731678069</v>
      </c>
      <c r="F74" s="40" t="n">
        <f aca="false">F71*F73</f>
        <v>211.920377178267</v>
      </c>
      <c r="G74" s="40" t="n">
        <f aca="false">G71*G73</f>
        <v>200.701087394483</v>
      </c>
      <c r="H74" s="40" t="n">
        <f aca="false">H71*H73</f>
        <v>190.620210858687</v>
      </c>
      <c r="I74" s="40" t="n">
        <f aca="false">I71*I73</f>
        <v>181.045679719666</v>
      </c>
      <c r="J74" s="40" t="n">
        <f aca="false">J71*J73</f>
        <v>172.401728145427</v>
      </c>
      <c r="K74" s="40" t="n">
        <f aca="false">K71*K73</f>
        <v>163.27459760214</v>
      </c>
      <c r="L74" s="40" t="n">
        <f aca="false">L71*L73</f>
        <v>155.073590416644</v>
      </c>
      <c r="M74" s="40" t="n">
        <f aca="false">M71*M73</f>
        <v>147.284505966493</v>
      </c>
      <c r="N74" s="40" t="n">
        <f aca="false">N71*N73</f>
        <v>140.252467758337</v>
      </c>
      <c r="O74" s="40" t="n">
        <f aca="false">O71*O73</f>
        <v>132.827353195862</v>
      </c>
      <c r="P74" s="40" t="n">
        <f aca="false">P71*P73</f>
        <v>126.155659656344</v>
      </c>
      <c r="Q74" s="40" t="n">
        <f aca="false">Q71*Q73</f>
        <v>119.819074011505</v>
      </c>
      <c r="R74" s="40" t="n">
        <f aca="false">R71*R73</f>
        <v>114.098361564627</v>
      </c>
      <c r="S74" s="40" t="n">
        <f aca="false">S71*S73</f>
        <v>108.057873154342</v>
      </c>
      <c r="T74" s="40" t="n">
        <f aca="false">T71*T73</f>
        <v>102.63030874933</v>
      </c>
      <c r="U74" s="40" t="n">
        <f aca="false">U71*U73</f>
        <v>97.4753617345232</v>
      </c>
      <c r="V74" s="40" t="n">
        <f aca="false">V71*V73</f>
        <v>92.8214406477601</v>
      </c>
      <c r="W74" s="40" t="n">
        <f aca="false">W71*W73</f>
        <v>87.9073750225393</v>
      </c>
      <c r="X74" s="40" t="n">
        <f aca="false">X71*X73</f>
        <v>83.4919360944666</v>
      </c>
      <c r="Y74" s="40" t="n">
        <f aca="false">Y71*Y73</f>
        <v>79.2982772038769</v>
      </c>
      <c r="Z74" s="40" t="n">
        <f aca="false">Z71*Z73</f>
        <v>75.51221354783</v>
      </c>
      <c r="AA74" s="40" t="n">
        <f aca="false">AA71*AA73</f>
        <v>0</v>
      </c>
      <c r="AB74" s="40" t="n">
        <f aca="false">AB71*AB73</f>
        <v>0</v>
      </c>
      <c r="AC74" s="40" t="n">
        <f aca="false">AC71*AC73</f>
        <v>0</v>
      </c>
      <c r="AD74" s="40" t="n">
        <f aca="false">AD71*AD73</f>
        <v>0</v>
      </c>
      <c r="AE74" s="40" t="n">
        <f aca="false">AE71*AE73</f>
        <v>0</v>
      </c>
      <c r="AF74" s="40" t="n">
        <f aca="false">AF71*AF73</f>
        <v>0</v>
      </c>
      <c r="AG74" s="40" t="n">
        <f aca="false">AG71*AG73</f>
        <v>0</v>
      </c>
      <c r="AH74" s="40" t="n">
        <f aca="false">AH71*AH73</f>
        <v>0</v>
      </c>
      <c r="AI74" s="40" t="n">
        <f aca="false">AI71*AI73</f>
        <v>0</v>
      </c>
      <c r="AJ74" s="40" t="n">
        <f aca="false">AJ71*AJ73</f>
        <v>0</v>
      </c>
      <c r="AK74" s="40" t="n">
        <f aca="false">AK71*AK73</f>
        <v>0</v>
      </c>
      <c r="AL74" s="40" t="n">
        <f aca="false">AL71*AL73</f>
        <v>0</v>
      </c>
      <c r="AM74" s="40" t="n">
        <f aca="false">AM71*AM73</f>
        <v>0</v>
      </c>
      <c r="AN74" s="40" t="n">
        <f aca="false">AN71*AN73</f>
        <v>0</v>
      </c>
      <c r="AO74" s="40" t="n">
        <f aca="false">AO71*AO73</f>
        <v>0</v>
      </c>
      <c r="AP74" s="40" t="n">
        <f aca="false">AP71*AP73</f>
        <v>0</v>
      </c>
      <c r="AQ74" s="40" t="n">
        <f aca="false">AQ71*AQ73</f>
        <v>0</v>
      </c>
      <c r="AR74" s="40" t="n">
        <f aca="false">AR71*AR73</f>
        <v>0</v>
      </c>
      <c r="AS74" s="40" t="n">
        <f aca="false">AS71*AS73</f>
        <v>0</v>
      </c>
      <c r="AT74" s="40" t="n">
        <f aca="false">AT71*AT73</f>
        <v>0</v>
      </c>
      <c r="AU74" s="40" t="n">
        <f aca="false">AU71*AU73</f>
        <v>0</v>
      </c>
      <c r="AV74" s="40" t="n">
        <f aca="false">AV71*AV73</f>
        <v>0</v>
      </c>
    </row>
    <row r="75" customFormat="false" ht="15" hidden="false" customHeight="false" outlineLevel="0" collapsed="false">
      <c r="B75" s="7" t="s">
        <v>150</v>
      </c>
      <c r="D75" s="16" t="n">
        <f aca="false">IF(AND($C$55=0,D$61=$C$57),D64-D63*($C$59+$C$53)-MAX(0,D64-D63*$C$59)*Inputs!$C$11,0)</f>
        <v>0</v>
      </c>
      <c r="E75" s="16" t="n">
        <f aca="false">IF(AND($C$55=0,E$61=$C$57),E64-E63*($C$59+$C$53)-MAX(0,E64-E63*$C$59)*Inputs!$C$11,0)</f>
        <v>0</v>
      </c>
      <c r="F75" s="16" t="n">
        <f aca="false">IF(AND($C$55=0,F$61=$C$57),F64-F63*($C$59+$C$53)-MAX(0,F64-F63*$C$59)*Inputs!$C$11,0)</f>
        <v>0</v>
      </c>
      <c r="G75" s="16" t="n">
        <f aca="false">IF(AND($C$55=0,G$61=$C$57),G64-G63*($C$59+$C$53)-MAX(0,G64-G63*$C$59)*Inputs!$C$11,0)</f>
        <v>0</v>
      </c>
      <c r="H75" s="16" t="n">
        <f aca="false">IF(AND($C$55=0,H$61=$C$57),H64-H63*($C$59+$C$53)-MAX(0,H64-H63*$C$59)*Inputs!$C$11,0)</f>
        <v>0</v>
      </c>
      <c r="I75" s="16" t="n">
        <f aca="false">IF(AND($C$55=0,I$61=$C$57),I64-I63*($C$59+$C$53)-MAX(0,I64-I63*$C$59)*Inputs!$C$11,0)</f>
        <v>0</v>
      </c>
      <c r="J75" s="16" t="n">
        <f aca="false">IF(AND($C$55=0,J$61=$C$57),J64-J63*($C$59+$C$53)-MAX(0,J64-J63*$C$59)*Inputs!$C$11,0)</f>
        <v>0</v>
      </c>
      <c r="K75" s="16" t="n">
        <f aca="false">IF(AND($C$55=0,K$61=$C$57),K64-K63*($C$59+$C$53)-MAX(0,K64-K63*$C$59)*Inputs!$C$11,0)</f>
        <v>0</v>
      </c>
      <c r="L75" s="16" t="n">
        <f aca="false">IF(AND($C$55=0,L$61=$C$57),L64-L63*($C$59+$C$53)-MAX(0,L64-L63*$C$59)*Inputs!$C$11,0)</f>
        <v>0</v>
      </c>
      <c r="M75" s="16" t="n">
        <f aca="false">IF(AND($C$55=0,M$61=$C$57),M64-M63*($C$59+$C$53)-MAX(0,M64-M63*$C$59)*Inputs!$C$11,0)</f>
        <v>0</v>
      </c>
      <c r="N75" s="16" t="n">
        <f aca="false">IF(AND($C$55=0,N$61=$C$57),N64-N63*($C$59+$C$53)-MAX(0,N64-N63*$C$59)*Inputs!$C$11,0)</f>
        <v>0</v>
      </c>
      <c r="O75" s="16" t="n">
        <f aca="false">IF(AND($C$55=0,O$61=$C$57),O64-O63*($C$59+$C$53)-MAX(0,O64-O63*$C$59)*Inputs!$C$11,0)</f>
        <v>0</v>
      </c>
      <c r="P75" s="16" t="n">
        <f aca="false">IF(AND($C$55=0,P$61=$C$57),P64-P63*($C$59+$C$53)-MAX(0,P64-P63*$C$59)*Inputs!$C$11,0)</f>
        <v>0</v>
      </c>
      <c r="Q75" s="16" t="n">
        <f aca="false">IF(AND($C$55=0,Q$61=$C$57),Q64-Q63*($C$59+$C$53)-MAX(0,Q64-Q63*$C$59)*Inputs!$C$11,0)</f>
        <v>0</v>
      </c>
      <c r="R75" s="16" t="n">
        <f aca="false">IF(AND($C$55=0,R$61=$C$57),R64-R63*($C$59+$C$53)-MAX(0,R64-R63*$C$59)*Inputs!$C$11,0)</f>
        <v>0</v>
      </c>
      <c r="S75" s="16" t="n">
        <f aca="false">IF(AND($C$55=0,S$61=$C$57),S64-S63*($C$59+$C$53)-MAX(0,S64-S63*$C$59)*Inputs!$C$11,0)</f>
        <v>0</v>
      </c>
      <c r="T75" s="16" t="n">
        <f aca="false">IF(AND($C$55=0,T$61=$C$57),T64-T63*($C$59+$C$53)-MAX(0,T64-T63*$C$59)*Inputs!$C$11,0)</f>
        <v>0</v>
      </c>
      <c r="U75" s="16" t="n">
        <f aca="false">IF(AND($C$55=0,U$61=$C$57),U64-U63*($C$59+$C$53)-MAX(0,U64-U63*$C$59)*Inputs!$C$11,0)</f>
        <v>0</v>
      </c>
      <c r="V75" s="16" t="n">
        <f aca="false">IF(AND($C$55=0,V$61=$C$57),V64-V63*($C$59+$C$53)-MAX(0,V64-V63*$C$59)*Inputs!$C$11,0)</f>
        <v>0</v>
      </c>
      <c r="W75" s="16" t="n">
        <f aca="false">IF(AND($C$55=0,W$61=$C$57),W64-W63*($C$59+$C$53)-MAX(0,W64-W63*$C$59)*Inputs!$C$11,0)</f>
        <v>0</v>
      </c>
      <c r="X75" s="16" t="n">
        <f aca="false">IF(AND($C$55=0,X$61=$C$57),X64-X63*($C$59+$C$53)-MAX(0,X64-X63*$C$59)*Inputs!$C$11,0)</f>
        <v>0</v>
      </c>
      <c r="Y75" s="16" t="n">
        <f aca="false">IF(AND($C$55=0,Y$61=$C$57),Y64-Y63*($C$59+$C$53)-MAX(0,Y64-Y63*$C$59)*Inputs!$C$11,0)</f>
        <v>0</v>
      </c>
      <c r="Z75" s="16" t="n">
        <f aca="false">IF(AND($C$55=0,Z$61=$C$57),Z64-Z63*($C$59+$C$53)-MAX(0,Z64-Z63*$C$59)*Inputs!$C$11,0)</f>
        <v>0</v>
      </c>
      <c r="AA75" s="16" t="n">
        <f aca="false">IF(AND($C$55=0,AA$61=$C$57),AA64-AA63*($C$59+$C$53)-MAX(0,AA64-AA63*$C$59)*Inputs!$C$11,0)</f>
        <v>0</v>
      </c>
      <c r="AB75" s="16" t="n">
        <f aca="false">IF(AND($C$55=0,AB$61=$C$57),AB64-AB63*($C$59+$C$53)-MAX(0,AB64-AB63*$C$59)*Inputs!$C$11,0)</f>
        <v>0</v>
      </c>
      <c r="AC75" s="16" t="n">
        <f aca="false">IF(AND($C$55=0,AC$61=$C$57),AC64-AC63*($C$59+$C$53)-MAX(0,AC64-AC63*$C$59)*Inputs!$C$11,0)</f>
        <v>0</v>
      </c>
      <c r="AD75" s="16" t="n">
        <f aca="false">IF(AND($C$55=0,AD$61=$C$57),AD64-AD63*($C$59+$C$53)-MAX(0,AD64-AD63*$C$59)*Inputs!$C$11,0)</f>
        <v>0</v>
      </c>
      <c r="AE75" s="16" t="n">
        <f aca="false">IF(AND($C$55=0,AE$61=$C$57),AE64-AE63*($C$59+$C$53)-MAX(0,AE64-AE63*$C$59)*Inputs!$C$11,0)</f>
        <v>0</v>
      </c>
      <c r="AF75" s="16" t="n">
        <f aca="false">IF(AND($C$55=0,AF$61=$C$57),AF64-AF63*($C$59+$C$53)-MAX(0,AF64-AF63*$C$59)*Inputs!$C$11,0)</f>
        <v>0</v>
      </c>
      <c r="AG75" s="16" t="n">
        <f aca="false">IF(AND($C$55=0,AG$61=$C$57),AG64-AG63*($C$59+$C$53)-MAX(0,AG64-AG63*$C$59)*Inputs!$C$11,0)</f>
        <v>0</v>
      </c>
      <c r="AH75" s="16" t="n">
        <f aca="false">IF(AND($C$55=0,AH$61=$C$57),AH64-AH63*($C$59+$C$53)-MAX(0,AH64-AH63*$C$59)*Inputs!$C$11,0)</f>
        <v>0</v>
      </c>
      <c r="AI75" s="16" t="n">
        <f aca="false">IF(AND($C$55=0,AI$61=$C$57),AI64-AI63*($C$59+$C$53)-MAX(0,AI64-AI63*$C$59)*Inputs!$C$11,0)</f>
        <v>0</v>
      </c>
      <c r="AJ75" s="16" t="n">
        <f aca="false">IF(AND($C$55=0,AJ$61=$C$57),AJ64-AJ63*($C$59+$C$53)-MAX(0,AJ64-AJ63*$C$59)*Inputs!$C$11,0)</f>
        <v>0</v>
      </c>
      <c r="AK75" s="16" t="n">
        <f aca="false">IF(AND($C$55=0,AK$61=$C$57),AK64-AK63*($C$59+$C$53)-MAX(0,AK64-AK63*$C$59)*Inputs!$C$11,0)</f>
        <v>0</v>
      </c>
      <c r="AL75" s="16" t="n">
        <f aca="false">IF(AND($C$55=0,AL$61=$C$57),AL64-AL63*($C$59+$C$53)-MAX(0,AL64-AL63*$C$59)*Inputs!$C$11,0)</f>
        <v>0</v>
      </c>
      <c r="AM75" s="16" t="n">
        <f aca="false">IF(AND($C$55=0,AM$61=$C$57),AM64-AM63*($C$59+$C$53)-MAX(0,AM64-AM63*$C$59)*Inputs!$C$11,0)</f>
        <v>0</v>
      </c>
      <c r="AN75" s="16" t="n">
        <f aca="false">IF(AND($C$55=0,AN$61=$C$57),AN64-AN63*($C$59+$C$53)-MAX(0,AN64-AN63*$C$59)*Inputs!$C$11,0)</f>
        <v>0</v>
      </c>
      <c r="AO75" s="16" t="n">
        <f aca="false">IF(AND($C$55=0,AO$61=$C$57),AO64-AO63*($C$59+$C$53)-MAX(0,AO64-AO63*$C$59)*Inputs!$C$11,0)</f>
        <v>0</v>
      </c>
      <c r="AP75" s="16" t="n">
        <f aca="false">IF(AND($C$55=0,AP$61=$C$57),AP64-AP63*($C$59+$C$53)-MAX(0,AP64-AP63*$C$59)*Inputs!$C$11,0)</f>
        <v>0</v>
      </c>
      <c r="AQ75" s="16" t="n">
        <f aca="false">IF(AND($C$55=0,AQ$61=$C$57),AQ64-AQ63*($C$59+$C$53)-MAX(0,AQ64-AQ63*$C$59)*Inputs!$C$11,0)</f>
        <v>0</v>
      </c>
      <c r="AR75" s="16" t="n">
        <f aca="false">IF(AND($C$55=0,AR$61=$C$57),AR64-AR63*($C$59+$C$53)-MAX(0,AR64-AR63*$C$59)*Inputs!$C$11,0)</f>
        <v>0</v>
      </c>
      <c r="AS75" s="16" t="n">
        <f aca="false">IF(AND($C$55=0,AS$61=$C$57),AS64-AS63*($C$59+$C$53)-MAX(0,AS64-AS63*$C$59)*Inputs!$C$11,0)</f>
        <v>0</v>
      </c>
      <c r="AT75" s="16" t="n">
        <f aca="false">IF(AND($C$55=0,AT$61=$C$57),AT64-AT63*($C$59+$C$53)-MAX(0,AT64-AT63*$C$59)*Inputs!$C$11,0)</f>
        <v>0</v>
      </c>
      <c r="AU75" s="16" t="n">
        <f aca="false">IF(AND($C$55=0,AU$61=$C$57),AU64-AU63*($C$59+$C$53)-MAX(0,AU64-AU63*$C$59)*Inputs!$C$11,0)</f>
        <v>0</v>
      </c>
      <c r="AV75" s="16" t="n">
        <f aca="false">IF(AND($C$55=0,AV$61=$C$57),AV64-AV63*($C$59+$C$53)-MAX(0,AV64-AV63*$C$59)*Inputs!$C$11,0)</f>
        <v>0</v>
      </c>
    </row>
    <row r="76" customFormat="false" ht="15" hidden="false" customHeight="false" outlineLevel="0" collapsed="false">
      <c r="B76" s="7" t="s">
        <v>151</v>
      </c>
      <c r="D76" s="16" t="n">
        <f aca="false">D75*(1+$C$58)/($C$54-$C$58)*D73</f>
        <v>0</v>
      </c>
      <c r="E76" s="16" t="n">
        <f aca="false">E75*(1+$C$58)/($C$54-$C$58)*E73</f>
        <v>0</v>
      </c>
      <c r="F76" s="16" t="n">
        <f aca="false">F75*(1+$C$58)/($C$54-$C$58)*F73</f>
        <v>0</v>
      </c>
      <c r="G76" s="16" t="n">
        <f aca="false">G75*(1+$C$58)/($C$54-$C$58)*G73</f>
        <v>0</v>
      </c>
      <c r="H76" s="16" t="n">
        <f aca="false">H75*(1+$C$58)/($C$54-$C$58)*H73</f>
        <v>0</v>
      </c>
      <c r="I76" s="16" t="n">
        <f aca="false">I75*(1+$C$58)/($C$54-$C$58)*I73</f>
        <v>0</v>
      </c>
      <c r="J76" s="16" t="n">
        <f aca="false">J75*(1+$C$58)/($C$54-$C$58)*J73</f>
        <v>0</v>
      </c>
      <c r="K76" s="16" t="n">
        <f aca="false">K75*(1+$C$58)/($C$54-$C$58)*K73</f>
        <v>0</v>
      </c>
      <c r="L76" s="16" t="n">
        <f aca="false">L75*(1+$C$58)/($C$54-$C$58)*L73</f>
        <v>0</v>
      </c>
      <c r="M76" s="16" t="n">
        <f aca="false">M75*(1+$C$58)/($C$54-$C$58)*M73</f>
        <v>0</v>
      </c>
      <c r="N76" s="16" t="n">
        <f aca="false">N75*(1+$C$58)/($C$54-$C$58)*N73</f>
        <v>0</v>
      </c>
      <c r="O76" s="16" t="n">
        <f aca="false">O75*(1+$C$58)/($C$54-$C$58)*O73</f>
        <v>0</v>
      </c>
      <c r="P76" s="16" t="n">
        <f aca="false">P75*(1+$C$58)/($C$54-$C$58)*P73</f>
        <v>0</v>
      </c>
      <c r="Q76" s="16" t="n">
        <f aca="false">Q75*(1+$C$58)/($C$54-$C$58)*Q73</f>
        <v>0</v>
      </c>
      <c r="R76" s="16" t="n">
        <f aca="false">R75*(1+$C$58)/($C$54-$C$58)*R73</f>
        <v>0</v>
      </c>
      <c r="S76" s="16" t="n">
        <f aca="false">S75*(1+$C$58)/($C$54-$C$58)*S73</f>
        <v>0</v>
      </c>
      <c r="T76" s="16" t="n">
        <f aca="false">T75*(1+$C$58)/($C$54-$C$58)*T73</f>
        <v>0</v>
      </c>
      <c r="U76" s="16" t="n">
        <f aca="false">U75*(1+$C$58)/($C$54-$C$58)*U73</f>
        <v>0</v>
      </c>
      <c r="V76" s="16" t="n">
        <f aca="false">V75*(1+$C$58)/($C$54-$C$58)*V73</f>
        <v>0</v>
      </c>
      <c r="W76" s="16" t="n">
        <f aca="false">W75*(1+$C$58)/($C$54-$C$58)*W73</f>
        <v>0</v>
      </c>
      <c r="X76" s="16" t="n">
        <f aca="false">X75*(1+$C$58)/($C$54-$C$58)*X73</f>
        <v>0</v>
      </c>
      <c r="Y76" s="16" t="n">
        <f aca="false">Y75*(1+$C$58)/($C$54-$C$58)*Y73</f>
        <v>0</v>
      </c>
      <c r="Z76" s="16" t="n">
        <f aca="false">Z75*(1+$C$58)/($C$54-$C$58)*Z73</f>
        <v>0</v>
      </c>
      <c r="AA76" s="16" t="n">
        <f aca="false">AA75*(1+$C$58)/($C$54-$C$58)*AA73</f>
        <v>0</v>
      </c>
      <c r="AB76" s="16" t="n">
        <f aca="false">AB75*(1+$C$58)/($C$54-$C$58)*AB73</f>
        <v>0</v>
      </c>
      <c r="AC76" s="16" t="n">
        <f aca="false">AC75*(1+$C$58)/($C$54-$C$58)*AC73</f>
        <v>0</v>
      </c>
      <c r="AD76" s="16" t="n">
        <f aca="false">AD75*(1+$C$58)/($C$54-$C$58)*AD73</f>
        <v>0</v>
      </c>
      <c r="AE76" s="16" t="n">
        <f aca="false">AE75*(1+$C$58)/($C$54-$C$58)*AE73</f>
        <v>0</v>
      </c>
      <c r="AF76" s="16" t="n">
        <f aca="false">AF75*(1+$C$58)/($C$54-$C$58)*AF73</f>
        <v>0</v>
      </c>
      <c r="AG76" s="16" t="n">
        <f aca="false">AG75*(1+$C$58)/($C$54-$C$58)*AG73</f>
        <v>0</v>
      </c>
      <c r="AH76" s="16" t="n">
        <f aca="false">AH75*(1+$C$58)/($C$54-$C$58)*AH73</f>
        <v>0</v>
      </c>
      <c r="AI76" s="16" t="n">
        <f aca="false">AI75*(1+$C$58)/($C$54-$C$58)*AI73</f>
        <v>0</v>
      </c>
      <c r="AJ76" s="16" t="n">
        <f aca="false">AJ75*(1+$C$58)/($C$54-$C$58)*AJ73</f>
        <v>0</v>
      </c>
      <c r="AK76" s="16" t="n">
        <f aca="false">AK75*(1+$C$58)/($C$54-$C$58)*AK73</f>
        <v>0</v>
      </c>
      <c r="AL76" s="16" t="n">
        <f aca="false">AL75*(1+$C$58)/($C$54-$C$58)*AL73</f>
        <v>0</v>
      </c>
      <c r="AM76" s="16" t="n">
        <f aca="false">AM75*(1+$C$58)/($C$54-$C$58)*AM73</f>
        <v>0</v>
      </c>
      <c r="AN76" s="16" t="n">
        <f aca="false">AN75*(1+$C$58)/($C$54-$C$58)*AN73</f>
        <v>0</v>
      </c>
      <c r="AO76" s="16" t="n">
        <f aca="false">AO75*(1+$C$58)/($C$54-$C$58)*AO73</f>
        <v>0</v>
      </c>
      <c r="AP76" s="16" t="n">
        <f aca="false">AP75*(1+$C$58)/($C$54-$C$58)*AP73</f>
        <v>0</v>
      </c>
      <c r="AQ76" s="16" t="n">
        <f aca="false">AQ75*(1+$C$58)/($C$54-$C$58)*AQ73</f>
        <v>0</v>
      </c>
      <c r="AR76" s="16" t="n">
        <f aca="false">AR75*(1+$C$58)/($C$54-$C$58)*AR73</f>
        <v>0</v>
      </c>
      <c r="AS76" s="16" t="n">
        <f aca="false">AS75*(1+$C$58)/($C$54-$C$58)*AS73</f>
        <v>0</v>
      </c>
      <c r="AT76" s="16" t="n">
        <f aca="false">AT75*(1+$C$58)/($C$54-$C$58)*AT73</f>
        <v>0</v>
      </c>
      <c r="AU76" s="16" t="n">
        <f aca="false">AU75*(1+$C$58)/($C$54-$C$58)*AU73</f>
        <v>0</v>
      </c>
      <c r="AV76" s="16" t="n">
        <f aca="false">AV75*(1+$C$58)/($C$54-$C$58)*AV73</f>
        <v>0</v>
      </c>
    </row>
    <row r="78" customFormat="false" ht="15" hidden="false" customHeight="false" outlineLevel="0" collapsed="false">
      <c r="B78" s="7" t="s">
        <v>152</v>
      </c>
      <c r="C78" s="16" t="n">
        <f aca="false">SUM($D$74:$AV$74)</f>
        <v>3105.90410078386</v>
      </c>
    </row>
    <row r="79" customFormat="false" ht="15" hidden="false" customHeight="false" outlineLevel="0" collapsed="false">
      <c r="B79" s="7" t="s">
        <v>151</v>
      </c>
      <c r="C79" s="16" t="n">
        <f aca="false">SUM($D$76:$AV$76)</f>
        <v>0</v>
      </c>
    </row>
    <row r="80" customFormat="false" ht="15" hidden="false" customHeight="false" outlineLevel="0" collapsed="false">
      <c r="B80" s="12" t="s">
        <v>169</v>
      </c>
      <c r="C80" s="13" t="n">
        <f aca="false">C78+C79</f>
        <v>3105.90410078386</v>
      </c>
    </row>
    <row r="81" customFormat="false" ht="15" hidden="false" customHeight="false" outlineLevel="0" collapsed="false">
      <c r="B81" s="7" t="s">
        <v>154</v>
      </c>
      <c r="C81" s="10" t="n">
        <f aca="false">IF(C80=0,0,C79/C80)</f>
        <v>0</v>
      </c>
    </row>
    <row r="82" customFormat="false" ht="15" hidden="false" customHeight="false" outlineLevel="0" collapsed="false">
      <c r="B82" s="7" t="s">
        <v>155</v>
      </c>
      <c r="C82" s="41" t="n">
        <f aca="false">IF(D64=0,0,C80/D64)</f>
        <v>7.58384501275388</v>
      </c>
    </row>
    <row r="83" customFormat="false" ht="15" hidden="false" customHeight="false" outlineLevel="0" collapsed="false">
      <c r="B83" s="7" t="s">
        <v>156</v>
      </c>
      <c r="C83" s="16" t="n">
        <f aca="false">SUM($D$75:$AV$75)</f>
        <v>0</v>
      </c>
    </row>
    <row r="84" customFormat="false" ht="15" hidden="false" customHeight="false" outlineLevel="0" collapsed="false">
      <c r="B84" s="7" t="s">
        <v>157</v>
      </c>
      <c r="C84" s="37" t="n">
        <f aca="false">SUMPRODUCT(($D$61:$AV$61=$C$57)*$D$72:$AV$72)</f>
        <v>0</v>
      </c>
    </row>
    <row r="85" customFormat="false" ht="15" hidden="false" customHeight="false" outlineLevel="0" collapsed="false">
      <c r="B85" s="12" t="s">
        <v>158</v>
      </c>
      <c r="C85" s="12" t="str">
        <f aca="false">IF(AND($C$54&gt;$C$58,SUMPRODUCT(($D$61:$AV$61&gt;YEAR($C$56))*($C$55=1)*ABS($D$71:$AV$71))=0),"OK","REVISAR")</f>
        <v>OK</v>
      </c>
    </row>
    <row r="88" customFormat="false" ht="15" hidden="false" customHeight="false" outlineLevel="0" collapsed="false">
      <c r="B88" s="22" t="s">
        <v>36</v>
      </c>
      <c r="C88" s="22"/>
      <c r="D88" s="22"/>
      <c r="E88" s="22"/>
      <c r="F88" s="22"/>
    </row>
    <row r="89" customFormat="false" ht="15" hidden="false" customHeight="true" outlineLevel="0" collapsed="false">
      <c r="B89" s="7" t="s">
        <v>122</v>
      </c>
      <c r="C89" s="31" t="n">
        <v>2423</v>
      </c>
      <c r="D89" s="33" t="s">
        <v>170</v>
      </c>
      <c r="E89" s="33"/>
      <c r="F89" s="33"/>
      <c r="G89" s="33"/>
      <c r="H89" s="33"/>
      <c r="I89" s="33"/>
      <c r="J89" s="33"/>
      <c r="K89" s="33"/>
      <c r="L89" s="33"/>
      <c r="M89" s="33"/>
      <c r="N89" s="33"/>
    </row>
    <row r="90" customFormat="false" ht="15" hidden="false" customHeight="false" outlineLevel="0" collapsed="false">
      <c r="B90" s="7" t="s">
        <v>124</v>
      </c>
      <c r="C90" s="29" t="n">
        <v>0.02</v>
      </c>
      <c r="D90" s="33"/>
      <c r="E90" s="33"/>
      <c r="F90" s="33"/>
      <c r="G90" s="33"/>
      <c r="H90" s="33"/>
      <c r="I90" s="33"/>
      <c r="J90" s="33"/>
      <c r="K90" s="33"/>
      <c r="L90" s="33"/>
      <c r="M90" s="33"/>
      <c r="N90" s="33"/>
    </row>
    <row r="91" customFormat="false" ht="15" hidden="false" customHeight="false" outlineLevel="0" collapsed="false">
      <c r="B91" s="7" t="s">
        <v>125</v>
      </c>
      <c r="C91" s="30" t="n">
        <v>0.03</v>
      </c>
      <c r="D91" s="33"/>
      <c r="E91" s="33"/>
      <c r="F91" s="33"/>
      <c r="G91" s="33"/>
      <c r="H91" s="33"/>
      <c r="I91" s="33"/>
      <c r="J91" s="33"/>
      <c r="K91" s="33"/>
      <c r="L91" s="33"/>
      <c r="M91" s="33"/>
      <c r="N91" s="33"/>
    </row>
    <row r="92" customFormat="false" ht="15" hidden="false" customHeight="false" outlineLevel="0" collapsed="false">
      <c r="B92" s="7" t="s">
        <v>126</v>
      </c>
      <c r="C92" s="29" t="n">
        <v>0.6343</v>
      </c>
      <c r="D92" s="33"/>
      <c r="E92" s="33"/>
      <c r="F92" s="33"/>
      <c r="G92" s="33"/>
      <c r="H92" s="33"/>
      <c r="I92" s="33"/>
      <c r="J92" s="33"/>
      <c r="K92" s="33"/>
      <c r="L92" s="33"/>
      <c r="M92" s="33"/>
      <c r="N92" s="33"/>
    </row>
    <row r="93" customFormat="false" ht="15" hidden="false" customHeight="false" outlineLevel="0" collapsed="false">
      <c r="B93" s="7" t="s">
        <v>127</v>
      </c>
      <c r="C93" s="29" t="n">
        <v>0.1172</v>
      </c>
      <c r="D93" s="33"/>
      <c r="E93" s="33"/>
      <c r="F93" s="33"/>
      <c r="G93" s="33"/>
      <c r="H93" s="33"/>
      <c r="I93" s="33"/>
      <c r="J93" s="33"/>
      <c r="K93" s="33"/>
      <c r="L93" s="33"/>
      <c r="M93" s="33"/>
      <c r="N93" s="33"/>
    </row>
    <row r="94" customFormat="false" ht="15" hidden="false" customHeight="false" outlineLevel="0" collapsed="false">
      <c r="B94" s="7" t="s">
        <v>128</v>
      </c>
      <c r="C94" s="29" t="n">
        <v>0.133</v>
      </c>
      <c r="D94" s="33"/>
      <c r="E94" s="33"/>
      <c r="F94" s="33"/>
      <c r="G94" s="33"/>
      <c r="H94" s="33"/>
      <c r="I94" s="33"/>
      <c r="J94" s="33"/>
      <c r="K94" s="33"/>
      <c r="L94" s="33"/>
      <c r="M94" s="33"/>
      <c r="N94" s="33"/>
    </row>
    <row r="95" customFormat="false" ht="15" hidden="false" customHeight="false" outlineLevel="0" collapsed="false">
      <c r="B95" s="7" t="s">
        <v>129</v>
      </c>
      <c r="C95" s="29" t="n">
        <v>0.0048</v>
      </c>
      <c r="D95" s="33"/>
      <c r="E95" s="33"/>
      <c r="F95" s="33"/>
      <c r="G95" s="33"/>
      <c r="H95" s="33"/>
      <c r="I95" s="33"/>
      <c r="J95" s="33"/>
      <c r="K95" s="33"/>
      <c r="L95" s="33"/>
      <c r="M95" s="33"/>
      <c r="N95" s="33"/>
    </row>
    <row r="96" customFormat="false" ht="15" hidden="false" customHeight="false" outlineLevel="0" collapsed="false">
      <c r="B96" s="7" t="s">
        <v>130</v>
      </c>
      <c r="C96" s="30" t="n">
        <v>0.08</v>
      </c>
      <c r="D96" s="33"/>
      <c r="E96" s="33"/>
      <c r="F96" s="33"/>
      <c r="G96" s="33"/>
      <c r="H96" s="33"/>
      <c r="I96" s="33"/>
      <c r="J96" s="33"/>
      <c r="K96" s="33"/>
      <c r="L96" s="33"/>
      <c r="M96" s="33"/>
      <c r="N96" s="33"/>
    </row>
    <row r="97" customFormat="false" ht="15" hidden="false" customHeight="false" outlineLevel="0" collapsed="false">
      <c r="B97" s="7" t="s">
        <v>131</v>
      </c>
      <c r="C97" s="34" t="n">
        <v>1</v>
      </c>
      <c r="D97" s="33"/>
      <c r="E97" s="33"/>
      <c r="F97" s="33"/>
      <c r="G97" s="33"/>
      <c r="H97" s="33"/>
      <c r="I97" s="33"/>
      <c r="J97" s="33"/>
      <c r="K97" s="33"/>
      <c r="L97" s="33"/>
      <c r="M97" s="33"/>
      <c r="N97" s="33"/>
    </row>
    <row r="98" customFormat="false" ht="15" hidden="false" customHeight="false" outlineLevel="0" collapsed="false">
      <c r="B98" s="7" t="s">
        <v>132</v>
      </c>
      <c r="C98" s="35" t="n">
        <v>58075</v>
      </c>
      <c r="D98" s="33"/>
      <c r="E98" s="33"/>
      <c r="F98" s="33"/>
      <c r="G98" s="33"/>
      <c r="H98" s="33"/>
      <c r="I98" s="33"/>
      <c r="J98" s="33"/>
      <c r="K98" s="33"/>
      <c r="L98" s="33"/>
      <c r="M98" s="33"/>
      <c r="N98" s="33"/>
    </row>
    <row r="99" customFormat="false" ht="15" hidden="false" customHeight="false" outlineLevel="0" collapsed="false">
      <c r="B99" s="7" t="s">
        <v>133</v>
      </c>
      <c r="C99" s="34" t="n">
        <v>0</v>
      </c>
      <c r="D99" s="33"/>
      <c r="E99" s="33"/>
      <c r="F99" s="33"/>
      <c r="G99" s="33"/>
      <c r="H99" s="33"/>
      <c r="I99" s="33"/>
      <c r="J99" s="33"/>
      <c r="K99" s="33"/>
      <c r="L99" s="33"/>
      <c r="M99" s="33"/>
      <c r="N99" s="33"/>
    </row>
    <row r="100" customFormat="false" ht="15" hidden="false" customHeight="false" outlineLevel="0" collapsed="false">
      <c r="B100" s="7" t="s">
        <v>134</v>
      </c>
      <c r="C100" s="30" t="n">
        <v>0</v>
      </c>
      <c r="D100" s="33"/>
      <c r="E100" s="33"/>
      <c r="F100" s="33"/>
      <c r="G100" s="33"/>
      <c r="H100" s="33"/>
      <c r="I100" s="33"/>
      <c r="J100" s="33"/>
      <c r="K100" s="33"/>
      <c r="L100" s="33"/>
      <c r="M100" s="33"/>
      <c r="N100" s="33"/>
    </row>
    <row r="101" customFormat="false" ht="15" hidden="false" customHeight="false" outlineLevel="0" collapsed="false">
      <c r="B101" s="7" t="s">
        <v>135</v>
      </c>
      <c r="C101" s="29" t="n">
        <v>0</v>
      </c>
      <c r="D101" s="33"/>
      <c r="E101" s="33"/>
      <c r="F101" s="33"/>
      <c r="G101" s="33"/>
      <c r="H101" s="33"/>
      <c r="I101" s="33"/>
      <c r="J101" s="33"/>
      <c r="K101" s="33"/>
      <c r="L101" s="33"/>
      <c r="M101" s="33"/>
      <c r="N101" s="33"/>
    </row>
    <row r="103" customFormat="false" ht="15" hidden="false" customHeight="false" outlineLevel="0" collapsed="false">
      <c r="B103" s="6" t="s">
        <v>136</v>
      </c>
      <c r="D103" s="36" t="n">
        <v>2026</v>
      </c>
      <c r="E103" s="36" t="n">
        <v>2027</v>
      </c>
      <c r="F103" s="36" t="n">
        <v>2028</v>
      </c>
      <c r="G103" s="36" t="n">
        <v>2029</v>
      </c>
      <c r="H103" s="36" t="n">
        <v>2030</v>
      </c>
      <c r="I103" s="36" t="n">
        <v>2031</v>
      </c>
      <c r="J103" s="36" t="n">
        <v>2032</v>
      </c>
      <c r="K103" s="36" t="n">
        <v>2033</v>
      </c>
      <c r="L103" s="36" t="n">
        <v>2034</v>
      </c>
      <c r="M103" s="36" t="n">
        <v>2035</v>
      </c>
      <c r="N103" s="36" t="n">
        <v>2036</v>
      </c>
      <c r="O103" s="36" t="n">
        <v>2037</v>
      </c>
      <c r="P103" s="36" t="n">
        <v>2038</v>
      </c>
      <c r="Q103" s="36" t="n">
        <v>2039</v>
      </c>
      <c r="R103" s="36" t="n">
        <v>2040</v>
      </c>
      <c r="S103" s="36" t="n">
        <v>2041</v>
      </c>
      <c r="T103" s="36" t="n">
        <v>2042</v>
      </c>
      <c r="U103" s="36" t="n">
        <v>2043</v>
      </c>
      <c r="V103" s="36" t="n">
        <v>2044</v>
      </c>
      <c r="W103" s="36" t="n">
        <v>2045</v>
      </c>
      <c r="X103" s="36" t="n">
        <v>2046</v>
      </c>
      <c r="Y103" s="36" t="n">
        <v>2047</v>
      </c>
      <c r="Z103" s="36" t="n">
        <v>2048</v>
      </c>
      <c r="AA103" s="36" t="n">
        <v>2049</v>
      </c>
      <c r="AB103" s="36" t="n">
        <v>2050</v>
      </c>
      <c r="AC103" s="36" t="n">
        <v>2051</v>
      </c>
      <c r="AD103" s="36" t="n">
        <v>2052</v>
      </c>
      <c r="AE103" s="36" t="n">
        <v>2053</v>
      </c>
      <c r="AF103" s="36" t="n">
        <v>2054</v>
      </c>
      <c r="AG103" s="36" t="n">
        <v>2055</v>
      </c>
      <c r="AH103" s="36" t="n">
        <v>2056</v>
      </c>
      <c r="AI103" s="36" t="n">
        <v>2057</v>
      </c>
      <c r="AJ103" s="36" t="n">
        <v>2058</v>
      </c>
      <c r="AK103" s="36" t="n">
        <v>2059</v>
      </c>
      <c r="AL103" s="36" t="n">
        <v>2060</v>
      </c>
      <c r="AM103" s="36" t="n">
        <v>2061</v>
      </c>
      <c r="AN103" s="36" t="n">
        <v>2062</v>
      </c>
      <c r="AO103" s="36" t="n">
        <v>2063</v>
      </c>
      <c r="AP103" s="36" t="n">
        <v>2064</v>
      </c>
      <c r="AQ103" s="36" t="n">
        <v>2065</v>
      </c>
      <c r="AR103" s="36" t="n">
        <v>2066</v>
      </c>
      <c r="AS103" s="36" t="n">
        <v>2067</v>
      </c>
      <c r="AT103" s="36" t="n">
        <v>2068</v>
      </c>
      <c r="AU103" s="36" t="n">
        <v>2069</v>
      </c>
      <c r="AV103" s="36" t="n">
        <v>2070</v>
      </c>
    </row>
    <row r="104" customFormat="false" ht="15" hidden="false" customHeight="false" outlineLevel="0" collapsed="false">
      <c r="B104" s="7" t="s">
        <v>137</v>
      </c>
      <c r="D104" s="37" t="n">
        <f aca="false">IF($C$97=1,MAX(0,MIN(DATE(D$103,12,31),$C$98)-MAX(Inputs!$C$5+1,DATE(D$103,1,1))+1)/365,IF(D$103&lt;=$C$99,(DATE(D$103,12,31)-MAX(Inputs!$C$5+1,DATE(D$103,1,1))+1)/365,0))</f>
        <v>0.504109589041096</v>
      </c>
      <c r="E104" s="37" t="n">
        <f aca="false">IF($C$97=1,MAX(0,MIN(DATE(E$103,12,31),$C$98)-MAX(Inputs!$C$5+1,DATE(E$103,1,1))+1)/365,IF(E$103&lt;=$C$99,(DATE(E$103,12,31)-MAX(Inputs!$C$5+1,DATE(E$103,1,1))+1)/365,0))</f>
        <v>1</v>
      </c>
      <c r="F104" s="37" t="n">
        <f aca="false">IF($C$97=1,MAX(0,MIN(DATE(F$103,12,31),$C$98)-MAX(Inputs!$C$5+1,DATE(F$103,1,1))+1)/365,IF(F$103&lt;=$C$99,(DATE(F$103,12,31)-MAX(Inputs!$C$5+1,DATE(F$103,1,1))+1)/365,0))</f>
        <v>1.0027397260274</v>
      </c>
      <c r="G104" s="37" t="n">
        <f aca="false">IF($C$97=1,MAX(0,MIN(DATE(G$103,12,31),$C$98)-MAX(Inputs!$C$5+1,DATE(G$103,1,1))+1)/365,IF(G$103&lt;=$C$99,(DATE(G$103,12,31)-MAX(Inputs!$C$5+1,DATE(G$103,1,1))+1)/365,0))</f>
        <v>1</v>
      </c>
      <c r="H104" s="37" t="n">
        <f aca="false">IF($C$97=1,MAX(0,MIN(DATE(H$103,12,31),$C$98)-MAX(Inputs!$C$5+1,DATE(H$103,1,1))+1)/365,IF(H$103&lt;=$C$99,(DATE(H$103,12,31)-MAX(Inputs!$C$5+1,DATE(H$103,1,1))+1)/365,0))</f>
        <v>1</v>
      </c>
      <c r="I104" s="37" t="n">
        <f aca="false">IF($C$97=1,MAX(0,MIN(DATE(I$103,12,31),$C$98)-MAX(Inputs!$C$5+1,DATE(I$103,1,1))+1)/365,IF(I$103&lt;=$C$99,(DATE(I$103,12,31)-MAX(Inputs!$C$5+1,DATE(I$103,1,1))+1)/365,0))</f>
        <v>1</v>
      </c>
      <c r="J104" s="37" t="n">
        <f aca="false">IF($C$97=1,MAX(0,MIN(DATE(J$103,12,31),$C$98)-MAX(Inputs!$C$5+1,DATE(J$103,1,1))+1)/365,IF(J$103&lt;=$C$99,(DATE(J$103,12,31)-MAX(Inputs!$C$5+1,DATE(J$103,1,1))+1)/365,0))</f>
        <v>1.0027397260274</v>
      </c>
      <c r="K104" s="37" t="n">
        <f aca="false">IF($C$97=1,MAX(0,MIN(DATE(K$103,12,31),$C$98)-MAX(Inputs!$C$5+1,DATE(K$103,1,1))+1)/365,IF(K$103&lt;=$C$99,(DATE(K$103,12,31)-MAX(Inputs!$C$5+1,DATE(K$103,1,1))+1)/365,0))</f>
        <v>1</v>
      </c>
      <c r="L104" s="37" t="n">
        <f aca="false">IF($C$97=1,MAX(0,MIN(DATE(L$103,12,31),$C$98)-MAX(Inputs!$C$5+1,DATE(L$103,1,1))+1)/365,IF(L$103&lt;=$C$99,(DATE(L$103,12,31)-MAX(Inputs!$C$5+1,DATE(L$103,1,1))+1)/365,0))</f>
        <v>1</v>
      </c>
      <c r="M104" s="37" t="n">
        <f aca="false">IF($C$97=1,MAX(0,MIN(DATE(M$103,12,31),$C$98)-MAX(Inputs!$C$5+1,DATE(M$103,1,1))+1)/365,IF(M$103&lt;=$C$99,(DATE(M$103,12,31)-MAX(Inputs!$C$5+1,DATE(M$103,1,1))+1)/365,0))</f>
        <v>1</v>
      </c>
      <c r="N104" s="37" t="n">
        <f aca="false">IF($C$97=1,MAX(0,MIN(DATE(N$103,12,31),$C$98)-MAX(Inputs!$C$5+1,DATE(N$103,1,1))+1)/365,IF(N$103&lt;=$C$99,(DATE(N$103,12,31)-MAX(Inputs!$C$5+1,DATE(N$103,1,1))+1)/365,0))</f>
        <v>1.0027397260274</v>
      </c>
      <c r="O104" s="37" t="n">
        <f aca="false">IF($C$97=1,MAX(0,MIN(DATE(O$103,12,31),$C$98)-MAX(Inputs!$C$5+1,DATE(O$103,1,1))+1)/365,IF(O$103&lt;=$C$99,(DATE(O$103,12,31)-MAX(Inputs!$C$5+1,DATE(O$103,1,1))+1)/365,0))</f>
        <v>1</v>
      </c>
      <c r="P104" s="37" t="n">
        <f aca="false">IF($C$97=1,MAX(0,MIN(DATE(P$103,12,31),$C$98)-MAX(Inputs!$C$5+1,DATE(P$103,1,1))+1)/365,IF(P$103&lt;=$C$99,(DATE(P$103,12,31)-MAX(Inputs!$C$5+1,DATE(P$103,1,1))+1)/365,0))</f>
        <v>1</v>
      </c>
      <c r="Q104" s="37" t="n">
        <f aca="false">IF($C$97=1,MAX(0,MIN(DATE(Q$103,12,31),$C$98)-MAX(Inputs!$C$5+1,DATE(Q$103,1,1))+1)/365,IF(Q$103&lt;=$C$99,(DATE(Q$103,12,31)-MAX(Inputs!$C$5+1,DATE(Q$103,1,1))+1)/365,0))</f>
        <v>1</v>
      </c>
      <c r="R104" s="37" t="n">
        <f aca="false">IF($C$97=1,MAX(0,MIN(DATE(R$103,12,31),$C$98)-MAX(Inputs!$C$5+1,DATE(R$103,1,1))+1)/365,IF(R$103&lt;=$C$99,(DATE(R$103,12,31)-MAX(Inputs!$C$5+1,DATE(R$103,1,1))+1)/365,0))</f>
        <v>1.0027397260274</v>
      </c>
      <c r="S104" s="37" t="n">
        <f aca="false">IF($C$97=1,MAX(0,MIN(DATE(S$103,12,31),$C$98)-MAX(Inputs!$C$5+1,DATE(S$103,1,1))+1)/365,IF(S$103&lt;=$C$99,(DATE(S$103,12,31)-MAX(Inputs!$C$5+1,DATE(S$103,1,1))+1)/365,0))</f>
        <v>1</v>
      </c>
      <c r="T104" s="37" t="n">
        <f aca="false">IF($C$97=1,MAX(0,MIN(DATE(T$103,12,31),$C$98)-MAX(Inputs!$C$5+1,DATE(T$103,1,1))+1)/365,IF(T$103&lt;=$C$99,(DATE(T$103,12,31)-MAX(Inputs!$C$5+1,DATE(T$103,1,1))+1)/365,0))</f>
        <v>1</v>
      </c>
      <c r="U104" s="37" t="n">
        <f aca="false">IF($C$97=1,MAX(0,MIN(DATE(U$103,12,31),$C$98)-MAX(Inputs!$C$5+1,DATE(U$103,1,1))+1)/365,IF(U$103&lt;=$C$99,(DATE(U$103,12,31)-MAX(Inputs!$C$5+1,DATE(U$103,1,1))+1)/365,0))</f>
        <v>1</v>
      </c>
      <c r="V104" s="37" t="n">
        <f aca="false">IF($C$97=1,MAX(0,MIN(DATE(V$103,12,31),$C$98)-MAX(Inputs!$C$5+1,DATE(V$103,1,1))+1)/365,IF(V$103&lt;=$C$99,(DATE(V$103,12,31)-MAX(Inputs!$C$5+1,DATE(V$103,1,1))+1)/365,0))</f>
        <v>1.0027397260274</v>
      </c>
      <c r="W104" s="37" t="n">
        <f aca="false">IF($C$97=1,MAX(0,MIN(DATE(W$103,12,31),$C$98)-MAX(Inputs!$C$5+1,DATE(W$103,1,1))+1)/365,IF(W$103&lt;=$C$99,(DATE(W$103,12,31)-MAX(Inputs!$C$5+1,DATE(W$103,1,1))+1)/365,0))</f>
        <v>1</v>
      </c>
      <c r="X104" s="37" t="n">
        <f aca="false">IF($C$97=1,MAX(0,MIN(DATE(X$103,12,31),$C$98)-MAX(Inputs!$C$5+1,DATE(X$103,1,1))+1)/365,IF(X$103&lt;=$C$99,(DATE(X$103,12,31)-MAX(Inputs!$C$5+1,DATE(X$103,1,1))+1)/365,0))</f>
        <v>1</v>
      </c>
      <c r="Y104" s="37" t="n">
        <f aca="false">IF($C$97=1,MAX(0,MIN(DATE(Y$103,12,31),$C$98)-MAX(Inputs!$C$5+1,DATE(Y$103,1,1))+1)/365,IF(Y$103&lt;=$C$99,(DATE(Y$103,12,31)-MAX(Inputs!$C$5+1,DATE(Y$103,1,1))+1)/365,0))</f>
        <v>1</v>
      </c>
      <c r="Z104" s="37" t="n">
        <f aca="false">IF($C$97=1,MAX(0,MIN(DATE(Z$103,12,31),$C$98)-MAX(Inputs!$C$5+1,DATE(Z$103,1,1))+1)/365,IF(Z$103&lt;=$C$99,(DATE(Z$103,12,31)-MAX(Inputs!$C$5+1,DATE(Z$103,1,1))+1)/365,0))</f>
        <v>1.0027397260274</v>
      </c>
      <c r="AA104" s="37" t="n">
        <f aca="false">IF($C$97=1,MAX(0,MIN(DATE(AA$103,12,31),$C$98)-MAX(Inputs!$C$5+1,DATE(AA$103,1,1))+1)/365,IF(AA$103&lt;=$C$99,(DATE(AA$103,12,31)-MAX(Inputs!$C$5+1,DATE(AA$103,1,1))+1)/365,0))</f>
        <v>1</v>
      </c>
      <c r="AB104" s="37" t="n">
        <f aca="false">IF($C$97=1,MAX(0,MIN(DATE(AB$103,12,31),$C$98)-MAX(Inputs!$C$5+1,DATE(AB$103,1,1))+1)/365,IF(AB$103&lt;=$C$99,(DATE(AB$103,12,31)-MAX(Inputs!$C$5+1,DATE(AB$103,1,1))+1)/365,0))</f>
        <v>1</v>
      </c>
      <c r="AC104" s="37" t="n">
        <f aca="false">IF($C$97=1,MAX(0,MIN(DATE(AC$103,12,31),$C$98)-MAX(Inputs!$C$5+1,DATE(AC$103,1,1))+1)/365,IF(AC$103&lt;=$C$99,(DATE(AC$103,12,31)-MAX(Inputs!$C$5+1,DATE(AC$103,1,1))+1)/365,0))</f>
        <v>1</v>
      </c>
      <c r="AD104" s="37" t="n">
        <f aca="false">IF($C$97=1,MAX(0,MIN(DATE(AD$103,12,31),$C$98)-MAX(Inputs!$C$5+1,DATE(AD$103,1,1))+1)/365,IF(AD$103&lt;=$C$99,(DATE(AD$103,12,31)-MAX(Inputs!$C$5+1,DATE(AD$103,1,1))+1)/365,0))</f>
        <v>1.0027397260274</v>
      </c>
      <c r="AE104" s="37" t="n">
        <f aca="false">IF($C$97=1,MAX(0,MIN(DATE(AE$103,12,31),$C$98)-MAX(Inputs!$C$5+1,DATE(AE$103,1,1))+1)/365,IF(AE$103&lt;=$C$99,(DATE(AE$103,12,31)-MAX(Inputs!$C$5+1,DATE(AE$103,1,1))+1)/365,0))</f>
        <v>1</v>
      </c>
      <c r="AF104" s="37" t="n">
        <f aca="false">IF($C$97=1,MAX(0,MIN(DATE(AF$103,12,31),$C$98)-MAX(Inputs!$C$5+1,DATE(AF$103,1,1))+1)/365,IF(AF$103&lt;=$C$99,(DATE(AF$103,12,31)-MAX(Inputs!$C$5+1,DATE(AF$103,1,1))+1)/365,0))</f>
        <v>1</v>
      </c>
      <c r="AG104" s="37" t="n">
        <f aca="false">IF($C$97=1,MAX(0,MIN(DATE(AG$103,12,31),$C$98)-MAX(Inputs!$C$5+1,DATE(AG$103,1,1))+1)/365,IF(AG$103&lt;=$C$99,(DATE(AG$103,12,31)-MAX(Inputs!$C$5+1,DATE(AG$103,1,1))+1)/365,0))</f>
        <v>1</v>
      </c>
      <c r="AH104" s="37" t="n">
        <f aca="false">IF($C$97=1,MAX(0,MIN(DATE(AH$103,12,31),$C$98)-MAX(Inputs!$C$5+1,DATE(AH$103,1,1))+1)/365,IF(AH$103&lt;=$C$99,(DATE(AH$103,12,31)-MAX(Inputs!$C$5+1,DATE(AH$103,1,1))+1)/365,0))</f>
        <v>1.0027397260274</v>
      </c>
      <c r="AI104" s="37" t="n">
        <f aca="false">IF($C$97=1,MAX(0,MIN(DATE(AI$103,12,31),$C$98)-MAX(Inputs!$C$5+1,DATE(AI$103,1,1))+1)/365,IF(AI$103&lt;=$C$99,(DATE(AI$103,12,31)-MAX(Inputs!$C$5+1,DATE(AI$103,1,1))+1)/365,0))</f>
        <v>1</v>
      </c>
      <c r="AJ104" s="37" t="n">
        <f aca="false">IF($C$97=1,MAX(0,MIN(DATE(AJ$103,12,31),$C$98)-MAX(Inputs!$C$5+1,DATE(AJ$103,1,1))+1)/365,IF(AJ$103&lt;=$C$99,(DATE(AJ$103,12,31)-MAX(Inputs!$C$5+1,DATE(AJ$103,1,1))+1)/365,0))</f>
        <v>1</v>
      </c>
      <c r="AK104" s="37" t="n">
        <f aca="false">IF($C$97=1,MAX(0,MIN(DATE(AK$103,12,31),$C$98)-MAX(Inputs!$C$5+1,DATE(AK$103,1,1))+1)/365,IF(AK$103&lt;=$C$99,(DATE(AK$103,12,31)-MAX(Inputs!$C$5+1,DATE(AK$103,1,1))+1)/365,0))</f>
        <v>0</v>
      </c>
      <c r="AL104" s="37" t="n">
        <f aca="false">IF($C$97=1,MAX(0,MIN(DATE(AL$103,12,31),$C$98)-MAX(Inputs!$C$5+1,DATE(AL$103,1,1))+1)/365,IF(AL$103&lt;=$C$99,(DATE(AL$103,12,31)-MAX(Inputs!$C$5+1,DATE(AL$103,1,1))+1)/365,0))</f>
        <v>0</v>
      </c>
      <c r="AM104" s="37" t="n">
        <f aca="false">IF($C$97=1,MAX(0,MIN(DATE(AM$103,12,31),$C$98)-MAX(Inputs!$C$5+1,DATE(AM$103,1,1))+1)/365,IF(AM$103&lt;=$C$99,(DATE(AM$103,12,31)-MAX(Inputs!$C$5+1,DATE(AM$103,1,1))+1)/365,0))</f>
        <v>0</v>
      </c>
      <c r="AN104" s="37" t="n">
        <f aca="false">IF($C$97=1,MAX(0,MIN(DATE(AN$103,12,31),$C$98)-MAX(Inputs!$C$5+1,DATE(AN$103,1,1))+1)/365,IF(AN$103&lt;=$C$99,(DATE(AN$103,12,31)-MAX(Inputs!$C$5+1,DATE(AN$103,1,1))+1)/365,0))</f>
        <v>0</v>
      </c>
      <c r="AO104" s="37" t="n">
        <f aca="false">IF($C$97=1,MAX(0,MIN(DATE(AO$103,12,31),$C$98)-MAX(Inputs!$C$5+1,DATE(AO$103,1,1))+1)/365,IF(AO$103&lt;=$C$99,(DATE(AO$103,12,31)-MAX(Inputs!$C$5+1,DATE(AO$103,1,1))+1)/365,0))</f>
        <v>0</v>
      </c>
      <c r="AP104" s="37" t="n">
        <f aca="false">IF($C$97=1,MAX(0,MIN(DATE(AP$103,12,31),$C$98)-MAX(Inputs!$C$5+1,DATE(AP$103,1,1))+1)/365,IF(AP$103&lt;=$C$99,(DATE(AP$103,12,31)-MAX(Inputs!$C$5+1,DATE(AP$103,1,1))+1)/365,0))</f>
        <v>0</v>
      </c>
      <c r="AQ104" s="37" t="n">
        <f aca="false">IF($C$97=1,MAX(0,MIN(DATE(AQ$103,12,31),$C$98)-MAX(Inputs!$C$5+1,DATE(AQ$103,1,1))+1)/365,IF(AQ$103&lt;=$C$99,(DATE(AQ$103,12,31)-MAX(Inputs!$C$5+1,DATE(AQ$103,1,1))+1)/365,0))</f>
        <v>0</v>
      </c>
      <c r="AR104" s="37" t="n">
        <f aca="false">IF($C$97=1,MAX(0,MIN(DATE(AR$103,12,31),$C$98)-MAX(Inputs!$C$5+1,DATE(AR$103,1,1))+1)/365,IF(AR$103&lt;=$C$99,(DATE(AR$103,12,31)-MAX(Inputs!$C$5+1,DATE(AR$103,1,1))+1)/365,0))</f>
        <v>0</v>
      </c>
      <c r="AS104" s="37" t="n">
        <f aca="false">IF($C$97=1,MAX(0,MIN(DATE(AS$103,12,31),$C$98)-MAX(Inputs!$C$5+1,DATE(AS$103,1,1))+1)/365,IF(AS$103&lt;=$C$99,(DATE(AS$103,12,31)-MAX(Inputs!$C$5+1,DATE(AS$103,1,1))+1)/365,0))</f>
        <v>0</v>
      </c>
      <c r="AT104" s="37" t="n">
        <f aca="false">IF($C$97=1,MAX(0,MIN(DATE(AT$103,12,31),$C$98)-MAX(Inputs!$C$5+1,DATE(AT$103,1,1))+1)/365,IF(AT$103&lt;=$C$99,(DATE(AT$103,12,31)-MAX(Inputs!$C$5+1,DATE(AT$103,1,1))+1)/365,0))</f>
        <v>0</v>
      </c>
      <c r="AU104" s="37" t="n">
        <f aca="false">IF($C$97=1,MAX(0,MIN(DATE(AU$103,12,31),$C$98)-MAX(Inputs!$C$5+1,DATE(AU$103,1,1))+1)/365,IF(AU$103&lt;=$C$99,(DATE(AU$103,12,31)-MAX(Inputs!$C$5+1,DATE(AU$103,1,1))+1)/365,0))</f>
        <v>0</v>
      </c>
      <c r="AV104" s="37" t="n">
        <f aca="false">IF($C$97=1,MAX(0,MIN(DATE(AV$103,12,31),$C$98)-MAX(Inputs!$C$5+1,DATE(AV$103,1,1))+1)/365,IF(AV$103&lt;=$C$99,(DATE(AV$103,12,31)-MAX(Inputs!$C$5+1,DATE(AV$103,1,1))+1)/365,0))</f>
        <v>0</v>
      </c>
    </row>
    <row r="105" customFormat="false" ht="15" hidden="false" customHeight="false" outlineLevel="0" collapsed="false">
      <c r="B105" s="7" t="s">
        <v>138</v>
      </c>
      <c r="D105" s="16" t="n">
        <f aca="false">$C$89*(1+$C$90)</f>
        <v>2471.46</v>
      </c>
      <c r="E105" s="16" t="n">
        <f aca="false">D105*(1+$C$91)</f>
        <v>2545.6038</v>
      </c>
      <c r="F105" s="16" t="n">
        <f aca="false">E105*(1+$C$91)</f>
        <v>2621.971914</v>
      </c>
      <c r="G105" s="16" t="n">
        <f aca="false">F105*(1+$C$91)</f>
        <v>2700.63107142</v>
      </c>
      <c r="H105" s="16" t="n">
        <f aca="false">G105*(1+$C$91)</f>
        <v>2781.6500035626</v>
      </c>
      <c r="I105" s="16" t="n">
        <f aca="false">H105*(1+$C$91)</f>
        <v>2865.09950366948</v>
      </c>
      <c r="J105" s="16" t="n">
        <f aca="false">I105*(1+$C$91)</f>
        <v>2951.05248877956</v>
      </c>
      <c r="K105" s="16" t="n">
        <f aca="false">J105*(1+$C$91)</f>
        <v>3039.58406344295</v>
      </c>
      <c r="L105" s="16" t="n">
        <f aca="false">K105*(1+$C$91)</f>
        <v>3130.77158534624</v>
      </c>
      <c r="M105" s="16" t="n">
        <f aca="false">L105*(1+$C$91)</f>
        <v>3224.69473290663</v>
      </c>
      <c r="N105" s="16" t="n">
        <f aca="false">M105*(1+$C$91)</f>
        <v>3321.43557489382</v>
      </c>
      <c r="O105" s="16" t="n">
        <f aca="false">N105*(1+$C$91)</f>
        <v>3421.07864214064</v>
      </c>
      <c r="P105" s="16" t="n">
        <f aca="false">O105*(1+$C$91)</f>
        <v>3523.71100140486</v>
      </c>
      <c r="Q105" s="16" t="n">
        <f aca="false">P105*(1+$C$91)</f>
        <v>3629.42233144701</v>
      </c>
      <c r="R105" s="16" t="n">
        <f aca="false">Q105*(1+$C$91)</f>
        <v>3738.30500139042</v>
      </c>
      <c r="S105" s="16" t="n">
        <f aca="false">R105*(1+$C$91)</f>
        <v>3850.45415143213</v>
      </c>
      <c r="T105" s="16" t="n">
        <f aca="false">S105*(1+$C$91)</f>
        <v>3965.96777597509</v>
      </c>
      <c r="U105" s="16" t="n">
        <f aca="false">T105*(1+$C$91)</f>
        <v>4084.94680925434</v>
      </c>
      <c r="V105" s="16" t="n">
        <f aca="false">U105*(1+$C$91)</f>
        <v>4207.49521353197</v>
      </c>
      <c r="W105" s="16" t="n">
        <f aca="false">V105*(1+$C$91)</f>
        <v>4333.72006993793</v>
      </c>
      <c r="X105" s="16" t="n">
        <f aca="false">W105*(1+$C$91)</f>
        <v>4463.73167203607</v>
      </c>
      <c r="Y105" s="16" t="n">
        <f aca="false">X105*(1+$C$91)</f>
        <v>4597.64362219715</v>
      </c>
      <c r="Z105" s="16" t="n">
        <f aca="false">Y105*(1+$C$91)</f>
        <v>4735.57293086307</v>
      </c>
      <c r="AA105" s="16" t="n">
        <f aca="false">Z105*(1+$C$91)</f>
        <v>4877.64011878896</v>
      </c>
      <c r="AB105" s="16" t="n">
        <f aca="false">AA105*(1+$C$91)</f>
        <v>5023.96932235263</v>
      </c>
      <c r="AC105" s="16" t="n">
        <f aca="false">AB105*(1+$C$91)</f>
        <v>5174.68840202321</v>
      </c>
      <c r="AD105" s="16" t="n">
        <f aca="false">AC105*(1+$C$91)</f>
        <v>5329.92905408391</v>
      </c>
      <c r="AE105" s="16" t="n">
        <f aca="false">AD105*(1+$C$91)</f>
        <v>5489.82692570642</v>
      </c>
      <c r="AF105" s="16" t="n">
        <f aca="false">AE105*(1+$C$91)</f>
        <v>5654.52173347762</v>
      </c>
      <c r="AG105" s="16" t="n">
        <f aca="false">AF105*(1+$C$91)</f>
        <v>5824.15738548194</v>
      </c>
      <c r="AH105" s="16" t="n">
        <f aca="false">AG105*(1+$C$91)</f>
        <v>5998.8821070464</v>
      </c>
      <c r="AI105" s="16" t="n">
        <f aca="false">AH105*(1+$C$91)</f>
        <v>6178.84857025779</v>
      </c>
      <c r="AJ105" s="16" t="n">
        <f aca="false">AI105*(1+$C$91)</f>
        <v>6364.21402736553</v>
      </c>
      <c r="AK105" s="16" t="n">
        <f aca="false">AJ105*(1+$C$91)</f>
        <v>6555.14044818649</v>
      </c>
      <c r="AL105" s="16" t="n">
        <f aca="false">AK105*(1+$C$91)</f>
        <v>6751.79466163209</v>
      </c>
      <c r="AM105" s="16" t="n">
        <f aca="false">AL105*(1+$C$91)</f>
        <v>6954.34850148105</v>
      </c>
      <c r="AN105" s="16" t="n">
        <f aca="false">AM105*(1+$C$91)</f>
        <v>7162.97895652548</v>
      </c>
      <c r="AO105" s="16" t="n">
        <f aca="false">AN105*(1+$C$91)</f>
        <v>7377.86832522125</v>
      </c>
      <c r="AP105" s="16" t="n">
        <f aca="false">AO105*(1+$C$91)</f>
        <v>7599.20437497789</v>
      </c>
      <c r="AQ105" s="16" t="n">
        <f aca="false">AP105*(1+$C$91)</f>
        <v>7827.18050622722</v>
      </c>
      <c r="AR105" s="16" t="n">
        <f aca="false">AQ105*(1+$C$91)</f>
        <v>8061.99592141404</v>
      </c>
      <c r="AS105" s="16" t="n">
        <f aca="false">AR105*(1+$C$91)</f>
        <v>8303.85579905646</v>
      </c>
      <c r="AT105" s="16" t="n">
        <f aca="false">AS105*(1+$C$91)</f>
        <v>8552.97147302815</v>
      </c>
      <c r="AU105" s="16" t="n">
        <f aca="false">AT105*(1+$C$91)</f>
        <v>8809.560617219</v>
      </c>
      <c r="AV105" s="16" t="n">
        <f aca="false">AU105*(1+$C$91)</f>
        <v>9073.84743573557</v>
      </c>
    </row>
    <row r="106" customFormat="false" ht="15" hidden="false" customHeight="false" outlineLevel="0" collapsed="false">
      <c r="B106" s="7" t="s">
        <v>139</v>
      </c>
      <c r="D106" s="16" t="n">
        <f aca="false">D105*$C$92</f>
        <v>1567.647078</v>
      </c>
      <c r="E106" s="16" t="n">
        <f aca="false">E105*$C$92</f>
        <v>1614.67649034</v>
      </c>
      <c r="F106" s="16" t="n">
        <f aca="false">F105*$C$92</f>
        <v>1663.1167850502</v>
      </c>
      <c r="G106" s="16" t="n">
        <f aca="false">G105*$C$92</f>
        <v>1713.01028860171</v>
      </c>
      <c r="H106" s="16" t="n">
        <f aca="false">H105*$C$92</f>
        <v>1764.40059725976</v>
      </c>
      <c r="I106" s="16" t="n">
        <f aca="false">I105*$C$92</f>
        <v>1817.33261517755</v>
      </c>
      <c r="J106" s="16" t="n">
        <f aca="false">J105*$C$92</f>
        <v>1871.85259363288</v>
      </c>
      <c r="K106" s="16" t="n">
        <f aca="false">K105*$C$92</f>
        <v>1928.00817144186</v>
      </c>
      <c r="L106" s="16" t="n">
        <f aca="false">L105*$C$92</f>
        <v>1985.84841658512</v>
      </c>
      <c r="M106" s="16" t="n">
        <f aca="false">M105*$C$92</f>
        <v>2045.42386908267</v>
      </c>
      <c r="N106" s="16" t="n">
        <f aca="false">N105*$C$92</f>
        <v>2106.78658515515</v>
      </c>
      <c r="O106" s="16" t="n">
        <f aca="false">O105*$C$92</f>
        <v>2169.99018270981</v>
      </c>
      <c r="P106" s="16" t="n">
        <f aca="false">P105*$C$92</f>
        <v>2235.0898881911</v>
      </c>
      <c r="Q106" s="16" t="n">
        <f aca="false">Q105*$C$92</f>
        <v>2302.14258483684</v>
      </c>
      <c r="R106" s="16" t="n">
        <f aca="false">R105*$C$92</f>
        <v>2371.20686238194</v>
      </c>
      <c r="S106" s="16" t="n">
        <f aca="false">S105*$C$92</f>
        <v>2442.3430682534</v>
      </c>
      <c r="T106" s="16" t="n">
        <f aca="false">T105*$C$92</f>
        <v>2515.613360301</v>
      </c>
      <c r="U106" s="16" t="n">
        <f aca="false">U105*$C$92</f>
        <v>2591.08176111003</v>
      </c>
      <c r="V106" s="16" t="n">
        <f aca="false">V105*$C$92</f>
        <v>2668.81421394333</v>
      </c>
      <c r="W106" s="16" t="n">
        <f aca="false">W105*$C$92</f>
        <v>2748.87864036163</v>
      </c>
      <c r="X106" s="16" t="n">
        <f aca="false">X105*$C$92</f>
        <v>2831.34499957248</v>
      </c>
      <c r="Y106" s="16" t="n">
        <f aca="false">Y105*$C$92</f>
        <v>2916.28534955965</v>
      </c>
      <c r="Z106" s="16" t="n">
        <f aca="false">Z105*$C$92</f>
        <v>3003.77391004644</v>
      </c>
      <c r="AA106" s="16" t="n">
        <f aca="false">AA105*$C$92</f>
        <v>3093.88712734784</v>
      </c>
      <c r="AB106" s="16" t="n">
        <f aca="false">AB105*$C$92</f>
        <v>3186.70374116827</v>
      </c>
      <c r="AC106" s="16" t="n">
        <f aca="false">AC105*$C$92</f>
        <v>3282.30485340332</v>
      </c>
      <c r="AD106" s="16" t="n">
        <f aca="false">AD105*$C$92</f>
        <v>3380.77399900542</v>
      </c>
      <c r="AE106" s="16" t="n">
        <f aca="false">AE105*$C$92</f>
        <v>3482.19721897558</v>
      </c>
      <c r="AF106" s="16" t="n">
        <f aca="false">AF105*$C$92</f>
        <v>3586.66313554485</v>
      </c>
      <c r="AG106" s="16" t="n">
        <f aca="false">AG105*$C$92</f>
        <v>3694.2630296112</v>
      </c>
      <c r="AH106" s="16" t="n">
        <f aca="false">AH105*$C$92</f>
        <v>3805.09092049953</v>
      </c>
      <c r="AI106" s="16" t="n">
        <f aca="false">AI105*$C$92</f>
        <v>3919.24364811452</v>
      </c>
      <c r="AJ106" s="16" t="n">
        <f aca="false">AJ105*$C$92</f>
        <v>4036.82095755795</v>
      </c>
      <c r="AK106" s="16" t="n">
        <f aca="false">AK105*$C$92</f>
        <v>4157.92558628469</v>
      </c>
      <c r="AL106" s="16" t="n">
        <f aca="false">AL105*$C$92</f>
        <v>4282.66335387323</v>
      </c>
      <c r="AM106" s="16" t="n">
        <f aca="false">AM105*$C$92</f>
        <v>4411.14325448943</v>
      </c>
      <c r="AN106" s="16" t="n">
        <f aca="false">AN105*$C$92</f>
        <v>4543.47755212411</v>
      </c>
      <c r="AO106" s="16" t="n">
        <f aca="false">AO105*$C$92</f>
        <v>4679.78187868784</v>
      </c>
      <c r="AP106" s="16" t="n">
        <f aca="false">AP105*$C$92</f>
        <v>4820.17533504847</v>
      </c>
      <c r="AQ106" s="16" t="n">
        <f aca="false">AQ105*$C$92</f>
        <v>4964.78059509993</v>
      </c>
      <c r="AR106" s="16" t="n">
        <f aca="false">AR105*$C$92</f>
        <v>5113.72401295293</v>
      </c>
      <c r="AS106" s="16" t="n">
        <f aca="false">AS105*$C$92</f>
        <v>5267.13573334151</v>
      </c>
      <c r="AT106" s="16" t="n">
        <f aca="false">AT105*$C$92</f>
        <v>5425.14980534176</v>
      </c>
      <c r="AU106" s="16" t="n">
        <f aca="false">AU105*$C$92</f>
        <v>5587.90429950201</v>
      </c>
      <c r="AV106" s="16" t="n">
        <f aca="false">AV105*$C$92</f>
        <v>5755.54142848707</v>
      </c>
    </row>
    <row r="107" customFormat="false" ht="15" hidden="false" customHeight="false" outlineLevel="0" collapsed="false">
      <c r="B107" s="7" t="s">
        <v>140</v>
      </c>
      <c r="D107" s="16" t="n">
        <f aca="false">-D105*$C$93</f>
        <v>-289.655112</v>
      </c>
      <c r="E107" s="16" t="n">
        <f aca="false">-E105*$C$93</f>
        <v>-298.34476536</v>
      </c>
      <c r="F107" s="16" t="n">
        <f aca="false">-F105*$C$93</f>
        <v>-307.2951083208</v>
      </c>
      <c r="G107" s="16" t="n">
        <f aca="false">-G105*$C$93</f>
        <v>-316.513961570424</v>
      </c>
      <c r="H107" s="16" t="n">
        <f aca="false">-H105*$C$93</f>
        <v>-326.009380417537</v>
      </c>
      <c r="I107" s="16" t="n">
        <f aca="false">-I105*$C$93</f>
        <v>-335.789661830063</v>
      </c>
      <c r="J107" s="16" t="n">
        <f aca="false">-J105*$C$93</f>
        <v>-345.863351684965</v>
      </c>
      <c r="K107" s="16" t="n">
        <f aca="false">-K105*$C$93</f>
        <v>-356.239252235514</v>
      </c>
      <c r="L107" s="16" t="n">
        <f aca="false">-L105*$C$93</f>
        <v>-366.926429802579</v>
      </c>
      <c r="M107" s="16" t="n">
        <f aca="false">-M105*$C$93</f>
        <v>-377.934222696657</v>
      </c>
      <c r="N107" s="16" t="n">
        <f aca="false">-N105*$C$93</f>
        <v>-389.272249377556</v>
      </c>
      <c r="O107" s="16" t="n">
        <f aca="false">-O105*$C$93</f>
        <v>-400.950416858883</v>
      </c>
      <c r="P107" s="16" t="n">
        <f aca="false">-P105*$C$93</f>
        <v>-412.978929364649</v>
      </c>
      <c r="Q107" s="16" t="n">
        <f aca="false">-Q105*$C$93</f>
        <v>-425.368297245589</v>
      </c>
      <c r="R107" s="16" t="n">
        <f aca="false">-R105*$C$93</f>
        <v>-438.129346162957</v>
      </c>
      <c r="S107" s="16" t="n">
        <f aca="false">-S105*$C$93</f>
        <v>-451.273226547845</v>
      </c>
      <c r="T107" s="16" t="n">
        <f aca="false">-T105*$C$93</f>
        <v>-464.811423344281</v>
      </c>
      <c r="U107" s="16" t="n">
        <f aca="false">-U105*$C$93</f>
        <v>-478.755766044609</v>
      </c>
      <c r="V107" s="16" t="n">
        <f aca="false">-V105*$C$93</f>
        <v>-493.118439025947</v>
      </c>
      <c r="W107" s="16" t="n">
        <f aca="false">-W105*$C$93</f>
        <v>-507.911992196726</v>
      </c>
      <c r="X107" s="16" t="n">
        <f aca="false">-X105*$C$93</f>
        <v>-523.149351962628</v>
      </c>
      <c r="Y107" s="16" t="n">
        <f aca="false">-Y105*$C$93</f>
        <v>-538.843832521506</v>
      </c>
      <c r="Z107" s="16" t="n">
        <f aca="false">-Z105*$C$93</f>
        <v>-555.009147497152</v>
      </c>
      <c r="AA107" s="16" t="n">
        <f aca="false">-AA105*$C$93</f>
        <v>-571.659421922066</v>
      </c>
      <c r="AB107" s="16" t="n">
        <f aca="false">-AB105*$C$93</f>
        <v>-588.809204579728</v>
      </c>
      <c r="AC107" s="16" t="n">
        <f aca="false">-AC105*$C$93</f>
        <v>-606.47348071712</v>
      </c>
      <c r="AD107" s="16" t="n">
        <f aca="false">-AD105*$C$93</f>
        <v>-624.667685138634</v>
      </c>
      <c r="AE107" s="16" t="n">
        <f aca="false">-AE105*$C$93</f>
        <v>-643.407715692793</v>
      </c>
      <c r="AF107" s="16" t="n">
        <f aca="false">-AF105*$C$93</f>
        <v>-662.709947163577</v>
      </c>
      <c r="AG107" s="16" t="n">
        <f aca="false">-AG105*$C$93</f>
        <v>-682.591245578484</v>
      </c>
      <c r="AH107" s="16" t="n">
        <f aca="false">-AH105*$C$93</f>
        <v>-703.068982945838</v>
      </c>
      <c r="AI107" s="16" t="n">
        <f aca="false">-AI105*$C$93</f>
        <v>-724.161052434213</v>
      </c>
      <c r="AJ107" s="16" t="n">
        <f aca="false">-AJ105*$C$93</f>
        <v>-745.88588400724</v>
      </c>
      <c r="AK107" s="16" t="n">
        <f aca="false">-AK105*$C$93</f>
        <v>-768.262460527457</v>
      </c>
      <c r="AL107" s="16" t="n">
        <f aca="false">-AL105*$C$93</f>
        <v>-791.310334343281</v>
      </c>
      <c r="AM107" s="16" t="n">
        <f aca="false">-AM105*$C$93</f>
        <v>-815.049644373579</v>
      </c>
      <c r="AN107" s="16" t="n">
        <f aca="false">-AN105*$C$93</f>
        <v>-839.501133704787</v>
      </c>
      <c r="AO107" s="16" t="n">
        <f aca="false">-AO105*$C$93</f>
        <v>-864.68616771593</v>
      </c>
      <c r="AP107" s="16" t="n">
        <f aca="false">-AP105*$C$93</f>
        <v>-890.626752747408</v>
      </c>
      <c r="AQ107" s="16" t="n">
        <f aca="false">-AQ105*$C$93</f>
        <v>-917.34555532983</v>
      </c>
      <c r="AR107" s="16" t="n">
        <f aca="false">-AR105*$C$93</f>
        <v>-944.865921989725</v>
      </c>
      <c r="AS107" s="16" t="n">
        <f aca="false">-AS105*$C$93</f>
        <v>-973.211899649417</v>
      </c>
      <c r="AT107" s="16" t="n">
        <f aca="false">-AT105*$C$93</f>
        <v>-1002.4082566389</v>
      </c>
      <c r="AU107" s="16" t="n">
        <f aca="false">-AU105*$C$93</f>
        <v>-1032.48050433807</v>
      </c>
      <c r="AV107" s="16" t="n">
        <f aca="false">-AV105*$C$93</f>
        <v>-1063.45491946821</v>
      </c>
    </row>
    <row r="108" customFormat="false" ht="15" hidden="false" customHeight="false" outlineLevel="0" collapsed="false">
      <c r="B108" s="7" t="s">
        <v>141</v>
      </c>
      <c r="D108" s="16" t="n">
        <f aca="false">D106+D107</f>
        <v>1277.991966</v>
      </c>
      <c r="E108" s="16" t="n">
        <f aca="false">E106+E107</f>
        <v>1316.33172498</v>
      </c>
      <c r="F108" s="16" t="n">
        <f aca="false">F106+F107</f>
        <v>1355.8216767294</v>
      </c>
      <c r="G108" s="16" t="n">
        <f aca="false">G106+G107</f>
        <v>1396.49632703128</v>
      </c>
      <c r="H108" s="16" t="n">
        <f aca="false">H106+H107</f>
        <v>1438.39121684222</v>
      </c>
      <c r="I108" s="16" t="n">
        <f aca="false">I106+I107</f>
        <v>1481.54295334749</v>
      </c>
      <c r="J108" s="16" t="n">
        <f aca="false">J106+J107</f>
        <v>1525.98924194791</v>
      </c>
      <c r="K108" s="16" t="n">
        <f aca="false">K106+K107</f>
        <v>1571.76891920635</v>
      </c>
      <c r="L108" s="16" t="n">
        <f aca="false">L106+L107</f>
        <v>1618.92198678254</v>
      </c>
      <c r="M108" s="16" t="n">
        <f aca="false">M106+M107</f>
        <v>1667.48964638602</v>
      </c>
      <c r="N108" s="16" t="n">
        <f aca="false">N106+N107</f>
        <v>1717.5143357776</v>
      </c>
      <c r="O108" s="16" t="n">
        <f aca="false">O106+O107</f>
        <v>1769.03976585092</v>
      </c>
      <c r="P108" s="16" t="n">
        <f aca="false">P106+P107</f>
        <v>1822.11095882645</v>
      </c>
      <c r="Q108" s="16" t="n">
        <f aca="false">Q106+Q107</f>
        <v>1876.77428759125</v>
      </c>
      <c r="R108" s="16" t="n">
        <f aca="false">R106+R107</f>
        <v>1933.07751621898</v>
      </c>
      <c r="S108" s="16" t="n">
        <f aca="false">S106+S107</f>
        <v>1991.06984170555</v>
      </c>
      <c r="T108" s="16" t="n">
        <f aca="false">T106+T107</f>
        <v>2050.80193695672</v>
      </c>
      <c r="U108" s="16" t="n">
        <f aca="false">U106+U107</f>
        <v>2112.32599506542</v>
      </c>
      <c r="V108" s="16" t="n">
        <f aca="false">V106+V107</f>
        <v>2175.69577491738</v>
      </c>
      <c r="W108" s="16" t="n">
        <f aca="false">W106+W107</f>
        <v>2240.96664816491</v>
      </c>
      <c r="X108" s="16" t="n">
        <f aca="false">X106+X107</f>
        <v>2308.19564760985</v>
      </c>
      <c r="Y108" s="16" t="n">
        <f aca="false">Y106+Y107</f>
        <v>2377.44151703815</v>
      </c>
      <c r="Z108" s="16" t="n">
        <f aca="false">Z106+Z107</f>
        <v>2448.76476254929</v>
      </c>
      <c r="AA108" s="16" t="n">
        <f aca="false">AA106+AA107</f>
        <v>2522.22770542577</v>
      </c>
      <c r="AB108" s="16" t="n">
        <f aca="false">AB106+AB107</f>
        <v>2597.89453658854</v>
      </c>
      <c r="AC108" s="16" t="n">
        <f aca="false">AC106+AC107</f>
        <v>2675.8313726862</v>
      </c>
      <c r="AD108" s="16" t="n">
        <f aca="false">AD106+AD107</f>
        <v>2756.10631386679</v>
      </c>
      <c r="AE108" s="16" t="n">
        <f aca="false">AE106+AE107</f>
        <v>2838.78950328279</v>
      </c>
      <c r="AF108" s="16" t="n">
        <f aca="false">AF106+AF107</f>
        <v>2923.95318838127</v>
      </c>
      <c r="AG108" s="16" t="n">
        <f aca="false">AG106+AG107</f>
        <v>3011.67178403271</v>
      </c>
      <c r="AH108" s="16" t="n">
        <f aca="false">AH106+AH107</f>
        <v>3102.02193755369</v>
      </c>
      <c r="AI108" s="16" t="n">
        <f aca="false">AI106+AI107</f>
        <v>3195.0825956803</v>
      </c>
      <c r="AJ108" s="16" t="n">
        <f aca="false">AJ106+AJ107</f>
        <v>3290.93507355071</v>
      </c>
      <c r="AK108" s="16" t="n">
        <f aca="false">AK106+AK107</f>
        <v>3389.66312575724</v>
      </c>
      <c r="AL108" s="16" t="n">
        <f aca="false">AL106+AL107</f>
        <v>3491.35301952995</v>
      </c>
      <c r="AM108" s="16" t="n">
        <f aca="false">AM106+AM107</f>
        <v>3596.09361011585</v>
      </c>
      <c r="AN108" s="16" t="n">
        <f aca="false">AN106+AN107</f>
        <v>3703.97641841933</v>
      </c>
      <c r="AO108" s="16" t="n">
        <f aca="false">AO106+AO107</f>
        <v>3815.09571097191</v>
      </c>
      <c r="AP108" s="16" t="n">
        <f aca="false">AP106+AP107</f>
        <v>3929.54858230106</v>
      </c>
      <c r="AQ108" s="16" t="n">
        <f aca="false">AQ106+AQ107</f>
        <v>4047.4350397701</v>
      </c>
      <c r="AR108" s="16" t="n">
        <f aca="false">AR106+AR107</f>
        <v>4168.8580909632</v>
      </c>
      <c r="AS108" s="16" t="n">
        <f aca="false">AS106+AS107</f>
        <v>4293.92383369209</v>
      </c>
      <c r="AT108" s="16" t="n">
        <f aca="false">AT106+AT107</f>
        <v>4422.74154870286</v>
      </c>
      <c r="AU108" s="16" t="n">
        <f aca="false">AU106+AU107</f>
        <v>4555.42379516394</v>
      </c>
      <c r="AV108" s="16" t="n">
        <f aca="false">AV106+AV107</f>
        <v>4692.08650901886</v>
      </c>
    </row>
    <row r="109" customFormat="false" ht="15" hidden="false" customHeight="false" outlineLevel="0" collapsed="false">
      <c r="B109" s="7" t="s">
        <v>142</v>
      </c>
      <c r="D109" s="8" t="n">
        <f aca="false">IF(D$103=2026,Inputs!$C$10,Inputs!$C$11)</f>
        <v>0.348</v>
      </c>
      <c r="E109" s="8" t="n">
        <f aca="false">IF(E$103=2026,Inputs!$C$10,Inputs!$C$11)</f>
        <v>0.258</v>
      </c>
      <c r="F109" s="8" t="n">
        <f aca="false">IF(F$103=2026,Inputs!$C$10,Inputs!$C$11)</f>
        <v>0.258</v>
      </c>
      <c r="G109" s="8" t="n">
        <f aca="false">IF(G$103=2026,Inputs!$C$10,Inputs!$C$11)</f>
        <v>0.258</v>
      </c>
      <c r="H109" s="8" t="n">
        <f aca="false">IF(H$103=2026,Inputs!$C$10,Inputs!$C$11)</f>
        <v>0.258</v>
      </c>
      <c r="I109" s="8" t="n">
        <f aca="false">IF(I$103=2026,Inputs!$C$10,Inputs!$C$11)</f>
        <v>0.258</v>
      </c>
      <c r="J109" s="8" t="n">
        <f aca="false">IF(J$103=2026,Inputs!$C$10,Inputs!$C$11)</f>
        <v>0.258</v>
      </c>
      <c r="K109" s="8" t="n">
        <f aca="false">IF(K$103=2026,Inputs!$C$10,Inputs!$C$11)</f>
        <v>0.258</v>
      </c>
      <c r="L109" s="8" t="n">
        <f aca="false">IF(L$103=2026,Inputs!$C$10,Inputs!$C$11)</f>
        <v>0.258</v>
      </c>
      <c r="M109" s="8" t="n">
        <f aca="false">IF(M$103=2026,Inputs!$C$10,Inputs!$C$11)</f>
        <v>0.258</v>
      </c>
      <c r="N109" s="8" t="n">
        <f aca="false">IF(N$103=2026,Inputs!$C$10,Inputs!$C$11)</f>
        <v>0.258</v>
      </c>
      <c r="O109" s="8" t="n">
        <f aca="false">IF(O$103=2026,Inputs!$C$10,Inputs!$C$11)</f>
        <v>0.258</v>
      </c>
      <c r="P109" s="8" t="n">
        <f aca="false">IF(P$103=2026,Inputs!$C$10,Inputs!$C$11)</f>
        <v>0.258</v>
      </c>
      <c r="Q109" s="8" t="n">
        <f aca="false">IF(Q$103=2026,Inputs!$C$10,Inputs!$C$11)</f>
        <v>0.258</v>
      </c>
      <c r="R109" s="8" t="n">
        <f aca="false">IF(R$103=2026,Inputs!$C$10,Inputs!$C$11)</f>
        <v>0.258</v>
      </c>
      <c r="S109" s="8" t="n">
        <f aca="false">IF(S$103=2026,Inputs!$C$10,Inputs!$C$11)</f>
        <v>0.258</v>
      </c>
      <c r="T109" s="8" t="n">
        <f aca="false">IF(T$103=2026,Inputs!$C$10,Inputs!$C$11)</f>
        <v>0.258</v>
      </c>
      <c r="U109" s="8" t="n">
        <f aca="false">IF(U$103=2026,Inputs!$C$10,Inputs!$C$11)</f>
        <v>0.258</v>
      </c>
      <c r="V109" s="8" t="n">
        <f aca="false">IF(V$103=2026,Inputs!$C$10,Inputs!$C$11)</f>
        <v>0.258</v>
      </c>
      <c r="W109" s="8" t="n">
        <f aca="false">IF(W$103=2026,Inputs!$C$10,Inputs!$C$11)</f>
        <v>0.258</v>
      </c>
      <c r="X109" s="8" t="n">
        <f aca="false">IF(X$103=2026,Inputs!$C$10,Inputs!$C$11)</f>
        <v>0.258</v>
      </c>
      <c r="Y109" s="8" t="n">
        <f aca="false">IF(Y$103=2026,Inputs!$C$10,Inputs!$C$11)</f>
        <v>0.258</v>
      </c>
      <c r="Z109" s="8" t="n">
        <f aca="false">IF(Z$103=2026,Inputs!$C$10,Inputs!$C$11)</f>
        <v>0.258</v>
      </c>
      <c r="AA109" s="8" t="n">
        <f aca="false">IF(AA$103=2026,Inputs!$C$10,Inputs!$C$11)</f>
        <v>0.258</v>
      </c>
      <c r="AB109" s="8" t="n">
        <f aca="false">IF(AB$103=2026,Inputs!$C$10,Inputs!$C$11)</f>
        <v>0.258</v>
      </c>
      <c r="AC109" s="8" t="n">
        <f aca="false">IF(AC$103=2026,Inputs!$C$10,Inputs!$C$11)</f>
        <v>0.258</v>
      </c>
      <c r="AD109" s="8" t="n">
        <f aca="false">IF(AD$103=2026,Inputs!$C$10,Inputs!$C$11)</f>
        <v>0.258</v>
      </c>
      <c r="AE109" s="8" t="n">
        <f aca="false">IF(AE$103=2026,Inputs!$C$10,Inputs!$C$11)</f>
        <v>0.258</v>
      </c>
      <c r="AF109" s="8" t="n">
        <f aca="false">IF(AF$103=2026,Inputs!$C$10,Inputs!$C$11)</f>
        <v>0.258</v>
      </c>
      <c r="AG109" s="8" t="n">
        <f aca="false">IF(AG$103=2026,Inputs!$C$10,Inputs!$C$11)</f>
        <v>0.258</v>
      </c>
      <c r="AH109" s="8" t="n">
        <f aca="false">IF(AH$103=2026,Inputs!$C$10,Inputs!$C$11)</f>
        <v>0.258</v>
      </c>
      <c r="AI109" s="8" t="n">
        <f aca="false">IF(AI$103=2026,Inputs!$C$10,Inputs!$C$11)</f>
        <v>0.258</v>
      </c>
      <c r="AJ109" s="8" t="n">
        <f aca="false">IF(AJ$103=2026,Inputs!$C$10,Inputs!$C$11)</f>
        <v>0.258</v>
      </c>
      <c r="AK109" s="8" t="n">
        <f aca="false">IF(AK$103=2026,Inputs!$C$10,Inputs!$C$11)</f>
        <v>0.258</v>
      </c>
      <c r="AL109" s="8" t="n">
        <f aca="false">IF(AL$103=2026,Inputs!$C$10,Inputs!$C$11)</f>
        <v>0.258</v>
      </c>
      <c r="AM109" s="8" t="n">
        <f aca="false">IF(AM$103=2026,Inputs!$C$10,Inputs!$C$11)</f>
        <v>0.258</v>
      </c>
      <c r="AN109" s="8" t="n">
        <f aca="false">IF(AN$103=2026,Inputs!$C$10,Inputs!$C$11)</f>
        <v>0.258</v>
      </c>
      <c r="AO109" s="8" t="n">
        <f aca="false">IF(AO$103=2026,Inputs!$C$10,Inputs!$C$11)</f>
        <v>0.258</v>
      </c>
      <c r="AP109" s="8" t="n">
        <f aca="false">IF(AP$103=2026,Inputs!$C$10,Inputs!$C$11)</f>
        <v>0.258</v>
      </c>
      <c r="AQ109" s="8" t="n">
        <f aca="false">IF(AQ$103=2026,Inputs!$C$10,Inputs!$C$11)</f>
        <v>0.258</v>
      </c>
      <c r="AR109" s="8" t="n">
        <f aca="false">IF(AR$103=2026,Inputs!$C$10,Inputs!$C$11)</f>
        <v>0.258</v>
      </c>
      <c r="AS109" s="8" t="n">
        <f aca="false">IF(AS$103=2026,Inputs!$C$10,Inputs!$C$11)</f>
        <v>0.258</v>
      </c>
      <c r="AT109" s="8" t="n">
        <f aca="false">IF(AT$103=2026,Inputs!$C$10,Inputs!$C$11)</f>
        <v>0.258</v>
      </c>
      <c r="AU109" s="8" t="n">
        <f aca="false">IF(AU$103=2026,Inputs!$C$10,Inputs!$C$11)</f>
        <v>0.258</v>
      </c>
      <c r="AV109" s="8" t="n">
        <f aca="false">IF(AV$103=2026,Inputs!$C$10,Inputs!$C$11)</f>
        <v>0.258</v>
      </c>
    </row>
    <row r="110" customFormat="false" ht="15" hidden="false" customHeight="false" outlineLevel="0" collapsed="false">
      <c r="B110" s="7" t="s">
        <v>143</v>
      </c>
      <c r="D110" s="16" t="n">
        <f aca="false">-MAX(0,D108)*D109</f>
        <v>-444.741204168</v>
      </c>
      <c r="E110" s="16" t="n">
        <f aca="false">-MAX(0,E108)*E109</f>
        <v>-339.61358504484</v>
      </c>
      <c r="F110" s="16" t="n">
        <f aca="false">-MAX(0,F108)*F109</f>
        <v>-349.801992596185</v>
      </c>
      <c r="G110" s="16" t="n">
        <f aca="false">-MAX(0,G108)*G109</f>
        <v>-360.296052374071</v>
      </c>
      <c r="H110" s="16" t="n">
        <f aca="false">-MAX(0,H108)*H109</f>
        <v>-371.104933945293</v>
      </c>
      <c r="I110" s="16" t="n">
        <f aca="false">-MAX(0,I108)*I109</f>
        <v>-382.238081963652</v>
      </c>
      <c r="J110" s="16" t="n">
        <f aca="false">-MAX(0,J108)*J109</f>
        <v>-393.705224422561</v>
      </c>
      <c r="K110" s="16" t="n">
        <f aca="false">-MAX(0,K108)*K109</f>
        <v>-405.516381155238</v>
      </c>
      <c r="L110" s="16" t="n">
        <f aca="false">-MAX(0,L108)*L109</f>
        <v>-417.681872589895</v>
      </c>
      <c r="M110" s="16" t="n">
        <f aca="false">-MAX(0,M108)*M109</f>
        <v>-430.212328767592</v>
      </c>
      <c r="N110" s="16" t="n">
        <f aca="false">-MAX(0,N108)*N109</f>
        <v>-443.11869863062</v>
      </c>
      <c r="O110" s="16" t="n">
        <f aca="false">-MAX(0,O108)*O109</f>
        <v>-456.412259589539</v>
      </c>
      <c r="P110" s="16" t="n">
        <f aca="false">-MAX(0,P108)*P109</f>
        <v>-470.104627377225</v>
      </c>
      <c r="Q110" s="16" t="n">
        <f aca="false">-MAX(0,Q108)*Q109</f>
        <v>-484.207766198542</v>
      </c>
      <c r="R110" s="16" t="n">
        <f aca="false">-MAX(0,R108)*R109</f>
        <v>-498.733999184498</v>
      </c>
      <c r="S110" s="16" t="n">
        <f aca="false">-MAX(0,S108)*S109</f>
        <v>-513.696019160033</v>
      </c>
      <c r="T110" s="16" t="n">
        <f aca="false">-MAX(0,T108)*T109</f>
        <v>-529.106899734834</v>
      </c>
      <c r="U110" s="16" t="n">
        <f aca="false">-MAX(0,U108)*U109</f>
        <v>-544.980106726879</v>
      </c>
      <c r="V110" s="16" t="n">
        <f aca="false">-MAX(0,V108)*V109</f>
        <v>-561.329509928685</v>
      </c>
      <c r="W110" s="16" t="n">
        <f aca="false">-MAX(0,W108)*W109</f>
        <v>-578.169395226546</v>
      </c>
      <c r="X110" s="16" t="n">
        <f aca="false">-MAX(0,X108)*X109</f>
        <v>-595.514477083342</v>
      </c>
      <c r="Y110" s="16" t="n">
        <f aca="false">-MAX(0,Y108)*Y109</f>
        <v>-613.379911395842</v>
      </c>
      <c r="Z110" s="16" t="n">
        <f aca="false">-MAX(0,Z108)*Z109</f>
        <v>-631.781308737717</v>
      </c>
      <c r="AA110" s="16" t="n">
        <f aca="false">-MAX(0,AA108)*AA109</f>
        <v>-650.734747999849</v>
      </c>
      <c r="AB110" s="16" t="n">
        <f aca="false">-MAX(0,AB108)*AB109</f>
        <v>-670.256790439845</v>
      </c>
      <c r="AC110" s="16" t="n">
        <f aca="false">-MAX(0,AC108)*AC109</f>
        <v>-690.36449415304</v>
      </c>
      <c r="AD110" s="16" t="n">
        <f aca="false">-MAX(0,AD108)*AD109</f>
        <v>-711.075428977631</v>
      </c>
      <c r="AE110" s="16" t="n">
        <f aca="false">-MAX(0,AE108)*AE109</f>
        <v>-732.40769184696</v>
      </c>
      <c r="AF110" s="16" t="n">
        <f aca="false">-MAX(0,AF108)*AF109</f>
        <v>-754.379922602369</v>
      </c>
      <c r="AG110" s="16" t="n">
        <f aca="false">-MAX(0,AG108)*AG109</f>
        <v>-777.01132028044</v>
      </c>
      <c r="AH110" s="16" t="n">
        <f aca="false">-MAX(0,AH108)*AH109</f>
        <v>-800.321659888853</v>
      </c>
      <c r="AI110" s="16" t="n">
        <f aca="false">-MAX(0,AI108)*AI109</f>
        <v>-824.331309685519</v>
      </c>
      <c r="AJ110" s="16" t="n">
        <f aca="false">-MAX(0,AJ108)*AJ109</f>
        <v>-849.061248976084</v>
      </c>
      <c r="AK110" s="16" t="n">
        <f aca="false">-MAX(0,AK108)*AK109</f>
        <v>-874.533086445367</v>
      </c>
      <c r="AL110" s="16" t="n">
        <f aca="false">-MAX(0,AL108)*AL109</f>
        <v>-900.769079038728</v>
      </c>
      <c r="AM110" s="16" t="n">
        <f aca="false">-MAX(0,AM108)*AM109</f>
        <v>-927.79215140989</v>
      </c>
      <c r="AN110" s="16" t="n">
        <f aca="false">-MAX(0,AN108)*AN109</f>
        <v>-955.625915952186</v>
      </c>
      <c r="AO110" s="16" t="n">
        <f aca="false">-MAX(0,AO108)*AO109</f>
        <v>-984.294693430752</v>
      </c>
      <c r="AP110" s="16" t="n">
        <f aca="false">-MAX(0,AP108)*AP109</f>
        <v>-1013.82353423367</v>
      </c>
      <c r="AQ110" s="16" t="n">
        <f aca="false">-MAX(0,AQ108)*AQ109</f>
        <v>-1044.23824026068</v>
      </c>
      <c r="AR110" s="16" t="n">
        <f aca="false">-MAX(0,AR108)*AR109</f>
        <v>-1075.56538746851</v>
      </c>
      <c r="AS110" s="16" t="n">
        <f aca="false">-MAX(0,AS108)*AS109</f>
        <v>-1107.83234909256</v>
      </c>
      <c r="AT110" s="16" t="n">
        <f aca="false">-MAX(0,AT108)*AT109</f>
        <v>-1141.06731956534</v>
      </c>
      <c r="AU110" s="16" t="n">
        <f aca="false">-MAX(0,AU108)*AU109</f>
        <v>-1175.2993391523</v>
      </c>
      <c r="AV110" s="16" t="n">
        <f aca="false">-MAX(0,AV108)*AV109</f>
        <v>-1210.55831932687</v>
      </c>
    </row>
    <row r="111" customFormat="false" ht="15" hidden="false" customHeight="false" outlineLevel="0" collapsed="false">
      <c r="B111" s="7" t="s">
        <v>144</v>
      </c>
      <c r="D111" s="16" t="n">
        <f aca="false">-D105*$C$94</f>
        <v>-328.70418</v>
      </c>
      <c r="E111" s="16" t="n">
        <f aca="false">-E105*$C$94</f>
        <v>-338.5653054</v>
      </c>
      <c r="F111" s="16" t="n">
        <f aca="false">-F105*$C$94</f>
        <v>-348.722264562</v>
      </c>
      <c r="G111" s="16" t="n">
        <f aca="false">-G105*$C$94</f>
        <v>-359.18393249886</v>
      </c>
      <c r="H111" s="16" t="n">
        <f aca="false">-H105*$C$94</f>
        <v>-369.959450473826</v>
      </c>
      <c r="I111" s="16" t="n">
        <f aca="false">-I105*$C$94</f>
        <v>-381.058233988041</v>
      </c>
      <c r="J111" s="16" t="n">
        <f aca="false">-J105*$C$94</f>
        <v>-392.489981007682</v>
      </c>
      <c r="K111" s="16" t="n">
        <f aca="false">-K105*$C$94</f>
        <v>-404.264680437912</v>
      </c>
      <c r="L111" s="16" t="n">
        <f aca="false">-L105*$C$94</f>
        <v>-416.39262085105</v>
      </c>
      <c r="M111" s="16" t="n">
        <f aca="false">-M105*$C$94</f>
        <v>-428.884399476581</v>
      </c>
      <c r="N111" s="16" t="n">
        <f aca="false">-N105*$C$94</f>
        <v>-441.750931460879</v>
      </c>
      <c r="O111" s="16" t="n">
        <f aca="false">-O105*$C$94</f>
        <v>-455.003459404705</v>
      </c>
      <c r="P111" s="16" t="n">
        <f aca="false">-P105*$C$94</f>
        <v>-468.653563186846</v>
      </c>
      <c r="Q111" s="16" t="n">
        <f aca="false">-Q105*$C$94</f>
        <v>-482.713170082452</v>
      </c>
      <c r="R111" s="16" t="n">
        <f aca="false">-R105*$C$94</f>
        <v>-497.194565184925</v>
      </c>
      <c r="S111" s="16" t="n">
        <f aca="false">-S105*$C$94</f>
        <v>-512.110402140473</v>
      </c>
      <c r="T111" s="16" t="n">
        <f aca="false">-T105*$C$94</f>
        <v>-527.473714204687</v>
      </c>
      <c r="U111" s="16" t="n">
        <f aca="false">-U105*$C$94</f>
        <v>-543.297925630828</v>
      </c>
      <c r="V111" s="16" t="n">
        <f aca="false">-V105*$C$94</f>
        <v>-559.596863399753</v>
      </c>
      <c r="W111" s="16" t="n">
        <f aca="false">-W105*$C$94</f>
        <v>-576.384769301745</v>
      </c>
      <c r="X111" s="16" t="n">
        <f aca="false">-X105*$C$94</f>
        <v>-593.676312380798</v>
      </c>
      <c r="Y111" s="16" t="n">
        <f aca="false">-Y105*$C$94</f>
        <v>-611.486601752221</v>
      </c>
      <c r="Z111" s="16" t="n">
        <f aca="false">-Z105*$C$94</f>
        <v>-629.831199804788</v>
      </c>
      <c r="AA111" s="16" t="n">
        <f aca="false">-AA105*$C$94</f>
        <v>-648.726135798932</v>
      </c>
      <c r="AB111" s="16" t="n">
        <f aca="false">-AB105*$C$94</f>
        <v>-668.1879198729</v>
      </c>
      <c r="AC111" s="16" t="n">
        <f aca="false">-AC105*$C$94</f>
        <v>-688.233557469087</v>
      </c>
      <c r="AD111" s="16" t="n">
        <f aca="false">-AD105*$C$94</f>
        <v>-708.880564193159</v>
      </c>
      <c r="AE111" s="16" t="n">
        <f aca="false">-AE105*$C$94</f>
        <v>-730.146981118954</v>
      </c>
      <c r="AF111" s="16" t="n">
        <f aca="false">-AF105*$C$94</f>
        <v>-752.051390552523</v>
      </c>
      <c r="AG111" s="16" t="n">
        <f aca="false">-AG105*$C$94</f>
        <v>-774.612932269099</v>
      </c>
      <c r="AH111" s="16" t="n">
        <f aca="false">-AH105*$C$94</f>
        <v>-797.851320237172</v>
      </c>
      <c r="AI111" s="16" t="n">
        <f aca="false">-AI105*$C$94</f>
        <v>-821.786859844287</v>
      </c>
      <c r="AJ111" s="16" t="n">
        <f aca="false">-AJ105*$C$94</f>
        <v>-846.440465639615</v>
      </c>
      <c r="AK111" s="16" t="n">
        <f aca="false">-AK105*$C$94</f>
        <v>-871.833679608804</v>
      </c>
      <c r="AL111" s="16" t="n">
        <f aca="false">-AL105*$C$94</f>
        <v>-897.988689997068</v>
      </c>
      <c r="AM111" s="16" t="n">
        <f aca="false">-AM105*$C$94</f>
        <v>-924.92835069698</v>
      </c>
      <c r="AN111" s="16" t="n">
        <f aca="false">-AN105*$C$94</f>
        <v>-952.676201217889</v>
      </c>
      <c r="AO111" s="16" t="n">
        <f aca="false">-AO105*$C$94</f>
        <v>-981.256487254426</v>
      </c>
      <c r="AP111" s="16" t="n">
        <f aca="false">-AP105*$C$94</f>
        <v>-1010.69418187206</v>
      </c>
      <c r="AQ111" s="16" t="n">
        <f aca="false">-AQ105*$C$94</f>
        <v>-1041.01500732822</v>
      </c>
      <c r="AR111" s="16" t="n">
        <f aca="false">-AR105*$C$94</f>
        <v>-1072.24545754807</v>
      </c>
      <c r="AS111" s="16" t="n">
        <f aca="false">-AS105*$C$94</f>
        <v>-1104.41282127451</v>
      </c>
      <c r="AT111" s="16" t="n">
        <f aca="false">-AT105*$C$94</f>
        <v>-1137.54520591274</v>
      </c>
      <c r="AU111" s="16" t="n">
        <f aca="false">-AU105*$C$94</f>
        <v>-1171.67156209013</v>
      </c>
      <c r="AV111" s="16" t="n">
        <f aca="false">-AV105*$C$94</f>
        <v>-1206.82170895283</v>
      </c>
    </row>
    <row r="112" customFormat="false" ht="15" hidden="false" customHeight="false" outlineLevel="0" collapsed="false">
      <c r="B112" s="7" t="s">
        <v>145</v>
      </c>
      <c r="D112" s="16" t="n">
        <f aca="false">-D105*$C$95</f>
        <v>-11.863008</v>
      </c>
      <c r="E112" s="16" t="n">
        <f aca="false">-E105*$C$95</f>
        <v>-12.21889824</v>
      </c>
      <c r="F112" s="16" t="n">
        <f aca="false">-F105*$C$95</f>
        <v>-12.5854651872</v>
      </c>
      <c r="G112" s="16" t="n">
        <f aca="false">-G105*$C$95</f>
        <v>-12.963029142816</v>
      </c>
      <c r="H112" s="16" t="n">
        <f aca="false">-H105*$C$95</f>
        <v>-13.3519200171005</v>
      </c>
      <c r="I112" s="16" t="n">
        <f aca="false">-I105*$C$95</f>
        <v>-13.7524776176135</v>
      </c>
      <c r="J112" s="16" t="n">
        <f aca="false">-J105*$C$95</f>
        <v>-14.1650519461419</v>
      </c>
      <c r="K112" s="16" t="n">
        <f aca="false">-K105*$C$95</f>
        <v>-14.5900035045262</v>
      </c>
      <c r="L112" s="16" t="n">
        <f aca="false">-L105*$C$95</f>
        <v>-15.0277036096619</v>
      </c>
      <c r="M112" s="16" t="n">
        <f aca="false">-M105*$C$95</f>
        <v>-15.4785347179518</v>
      </c>
      <c r="N112" s="16" t="n">
        <f aca="false">-N105*$C$95</f>
        <v>-15.9428907594904</v>
      </c>
      <c r="O112" s="16" t="n">
        <f aca="false">-O105*$C$95</f>
        <v>-16.4211774822751</v>
      </c>
      <c r="P112" s="16" t="n">
        <f aca="false">-P105*$C$95</f>
        <v>-16.9138128067433</v>
      </c>
      <c r="Q112" s="16" t="n">
        <f aca="false">-Q105*$C$95</f>
        <v>-17.4212271909456</v>
      </c>
      <c r="R112" s="16" t="n">
        <f aca="false">-R105*$C$95</f>
        <v>-17.943864006674</v>
      </c>
      <c r="S112" s="16" t="n">
        <f aca="false">-S105*$C$95</f>
        <v>-18.4821799268742</v>
      </c>
      <c r="T112" s="16" t="n">
        <f aca="false">-T105*$C$95</f>
        <v>-19.0366453246804</v>
      </c>
      <c r="U112" s="16" t="n">
        <f aca="false">-U105*$C$95</f>
        <v>-19.6077446844209</v>
      </c>
      <c r="V112" s="16" t="n">
        <f aca="false">-V105*$C$95</f>
        <v>-20.1959770249535</v>
      </c>
      <c r="W112" s="16" t="n">
        <f aca="false">-W105*$C$95</f>
        <v>-20.8018563357021</v>
      </c>
      <c r="X112" s="16" t="n">
        <f aca="false">-X105*$C$95</f>
        <v>-21.4259120257731</v>
      </c>
      <c r="Y112" s="16" t="n">
        <f aca="false">-Y105*$C$95</f>
        <v>-22.0686893865463</v>
      </c>
      <c r="Z112" s="16" t="n">
        <f aca="false">-Z105*$C$95</f>
        <v>-22.7307500681427</v>
      </c>
      <c r="AA112" s="16" t="n">
        <f aca="false">-AA105*$C$95</f>
        <v>-23.412672570187</v>
      </c>
      <c r="AB112" s="16" t="n">
        <f aca="false">-AB105*$C$95</f>
        <v>-24.1150527472926</v>
      </c>
      <c r="AC112" s="16" t="n">
        <f aca="false">-AC105*$C$95</f>
        <v>-24.8385043297114</v>
      </c>
      <c r="AD112" s="16" t="n">
        <f aca="false">-AD105*$C$95</f>
        <v>-25.5836594596027</v>
      </c>
      <c r="AE112" s="16" t="n">
        <f aca="false">-AE105*$C$95</f>
        <v>-26.3511692433908</v>
      </c>
      <c r="AF112" s="16" t="n">
        <f aca="false">-AF105*$C$95</f>
        <v>-27.1417043206926</v>
      </c>
      <c r="AG112" s="16" t="n">
        <f aca="false">-AG105*$C$95</f>
        <v>-27.9559554503133</v>
      </c>
      <c r="AH112" s="16" t="n">
        <f aca="false">-AH105*$C$95</f>
        <v>-28.7946341138227</v>
      </c>
      <c r="AI112" s="16" t="n">
        <f aca="false">-AI105*$C$95</f>
        <v>-29.6584731372374</v>
      </c>
      <c r="AJ112" s="16" t="n">
        <f aca="false">-AJ105*$C$95</f>
        <v>-30.5482273313545</v>
      </c>
      <c r="AK112" s="16" t="n">
        <f aca="false">-AK105*$C$95</f>
        <v>-31.4646741512952</v>
      </c>
      <c r="AL112" s="16" t="n">
        <f aca="false">-AL105*$C$95</f>
        <v>-32.408614375834</v>
      </c>
      <c r="AM112" s="16" t="n">
        <f aca="false">-AM105*$C$95</f>
        <v>-33.380872807109</v>
      </c>
      <c r="AN112" s="16" t="n">
        <f aca="false">-AN105*$C$95</f>
        <v>-34.3822989913223</v>
      </c>
      <c r="AO112" s="16" t="n">
        <f aca="false">-AO105*$C$95</f>
        <v>-35.413767961062</v>
      </c>
      <c r="AP112" s="16" t="n">
        <f aca="false">-AP105*$C$95</f>
        <v>-36.4761809998938</v>
      </c>
      <c r="AQ112" s="16" t="n">
        <f aca="false">-AQ105*$C$95</f>
        <v>-37.5704664298907</v>
      </c>
      <c r="AR112" s="16" t="n">
        <f aca="false">-AR105*$C$95</f>
        <v>-38.6975804227874</v>
      </c>
      <c r="AS112" s="16" t="n">
        <f aca="false">-AS105*$C$95</f>
        <v>-39.858507835471</v>
      </c>
      <c r="AT112" s="16" t="n">
        <f aca="false">-AT105*$C$95</f>
        <v>-41.0542630705351</v>
      </c>
      <c r="AU112" s="16" t="n">
        <f aca="false">-AU105*$C$95</f>
        <v>-42.2858909626512</v>
      </c>
      <c r="AV112" s="16" t="n">
        <f aca="false">-AV105*$C$95</f>
        <v>-43.5544676915307</v>
      </c>
    </row>
    <row r="113" customFormat="false" ht="15" hidden="false" customHeight="false" outlineLevel="0" collapsed="false">
      <c r="B113" s="12" t="s">
        <v>146</v>
      </c>
      <c r="D113" s="38" t="n">
        <f aca="false">(D106+D110+D111+D112)*D104</f>
        <v>394.384433405721</v>
      </c>
      <c r="E113" s="38" t="n">
        <f aca="false">(E106+E110+E111+E112)*E104</f>
        <v>924.27870165516</v>
      </c>
      <c r="F113" s="38" t="n">
        <f aca="false">(F106+F110+F111+F112)*F104</f>
        <v>954.615301232773</v>
      </c>
      <c r="G113" s="38" t="n">
        <f aca="false">(G106+G110+G111+G112)*G104</f>
        <v>980.567274585959</v>
      </c>
      <c r="H113" s="38" t="n">
        <f aca="false">(H106+H110+H111+H112)*H104</f>
        <v>1009.98429282354</v>
      </c>
      <c r="I113" s="38" t="n">
        <f aca="false">(I106+I110+I111+I112)*I104</f>
        <v>1040.28382160824</v>
      </c>
      <c r="J113" s="38" t="n">
        <f aca="false">(J106+J110+J111+J112)*J104</f>
        <v>1074.42793169829</v>
      </c>
      <c r="K113" s="38" t="n">
        <f aca="false">(K106+K110+K111+K112)*K104</f>
        <v>1103.63710634419</v>
      </c>
      <c r="L113" s="38" t="n">
        <f aca="false">(L106+L110+L111+L112)*L104</f>
        <v>1136.74621953451</v>
      </c>
      <c r="M113" s="38" t="n">
        <f aca="false">(M106+M110+M111+M112)*M104</f>
        <v>1170.84860612055</v>
      </c>
      <c r="N113" s="38" t="n">
        <f aca="false">(N106+N110+N111+N112)*N104</f>
        <v>1209.2781028365</v>
      </c>
      <c r="O113" s="38" t="n">
        <f aca="false">(O106+O110+O111+O112)*O104</f>
        <v>1242.15328623329</v>
      </c>
      <c r="P113" s="38" t="n">
        <f aca="false">(P106+P110+P111+P112)*P104</f>
        <v>1279.41788482029</v>
      </c>
      <c r="Q113" s="38" t="n">
        <f aca="false">(Q106+Q110+Q111+Q112)*Q104</f>
        <v>1317.8004213649</v>
      </c>
      <c r="R113" s="38" t="n">
        <f aca="false">(R106+R110+R111+R112)*R104</f>
        <v>1361.05315848257</v>
      </c>
      <c r="S113" s="38" t="n">
        <f aca="false">(S106+S110+S111+S112)*S104</f>
        <v>1398.05446702602</v>
      </c>
      <c r="T113" s="38" t="n">
        <f aca="false">(T106+T110+T111+T112)*T104</f>
        <v>1439.9961010368</v>
      </c>
      <c r="U113" s="38" t="n">
        <f aca="false">(U106+U110+U111+U112)*U104</f>
        <v>1483.1959840679</v>
      </c>
      <c r="V113" s="38" t="n">
        <f aca="false">(V106+V110+V111+V112)*V104</f>
        <v>1531.87732075046</v>
      </c>
      <c r="W113" s="38" t="n">
        <f aca="false">(W106+W110+W111+W112)*W104</f>
        <v>1573.52261949764</v>
      </c>
      <c r="X113" s="38" t="n">
        <f aca="false">(X106+X110+X111+X112)*X104</f>
        <v>1620.72829808257</v>
      </c>
      <c r="Y113" s="38" t="n">
        <f aca="false">(Y106+Y110+Y111+Y112)*Y104</f>
        <v>1669.35014702504</v>
      </c>
      <c r="Z113" s="38" t="n">
        <f aca="false">(Z106+Z110+Z111+Z112)*Z104</f>
        <v>1724.14142034384</v>
      </c>
      <c r="AA113" s="38" t="n">
        <f aca="false">(AA106+AA110+AA111+AA112)*AA104</f>
        <v>1771.01357097887</v>
      </c>
      <c r="AB113" s="38" t="n">
        <f aca="false">(AB106+AB110+AB111+AB112)*AB104</f>
        <v>1824.14397810824</v>
      </c>
      <c r="AC113" s="38" t="n">
        <f aca="false">(AC106+AC110+AC111+AC112)*AC104</f>
        <v>1878.86829745148</v>
      </c>
      <c r="AD113" s="38" t="n">
        <f aca="false">(AD106+AD110+AD111+AD112)*AD104</f>
        <v>1940.5363582829</v>
      </c>
      <c r="AE113" s="38" t="n">
        <f aca="false">(AE106+AE110+AE111+AE112)*AE104</f>
        <v>1993.29137676628</v>
      </c>
      <c r="AF113" s="38" t="n">
        <f aca="false">(AF106+AF110+AF111+AF112)*AF104</f>
        <v>2053.09011806927</v>
      </c>
      <c r="AG113" s="38" t="n">
        <f aca="false">(AG106+AG110+AG111+AG112)*AG104</f>
        <v>2114.68282161134</v>
      </c>
      <c r="AH113" s="38" t="n">
        <f aca="false">(AH106+AH110+AH111+AH112)*AH104</f>
        <v>2184.09076737273</v>
      </c>
      <c r="AI113" s="38" t="n">
        <f aca="false">(AI106+AI110+AI111+AI112)*AI104</f>
        <v>2243.46700544748</v>
      </c>
      <c r="AJ113" s="38" t="n">
        <f aca="false">(AJ106+AJ110+AJ111+AJ112)*AJ104</f>
        <v>2310.7710156109</v>
      </c>
      <c r="AK113" s="38" t="n">
        <f aca="false">(AK106+AK110+AK111+AK112)*AK104</f>
        <v>0</v>
      </c>
      <c r="AL113" s="38" t="n">
        <f aca="false">(AL106+AL110+AL111+AL112)*AL104</f>
        <v>0</v>
      </c>
      <c r="AM113" s="38" t="n">
        <f aca="false">(AM106+AM110+AM111+AM112)*AM104</f>
        <v>0</v>
      </c>
      <c r="AN113" s="38" t="n">
        <f aca="false">(AN106+AN110+AN111+AN112)*AN104</f>
        <v>0</v>
      </c>
      <c r="AO113" s="38" t="n">
        <f aca="false">(AO106+AO110+AO111+AO112)*AO104</f>
        <v>0</v>
      </c>
      <c r="AP113" s="38" t="n">
        <f aca="false">(AP106+AP110+AP111+AP112)*AP104</f>
        <v>0</v>
      </c>
      <c r="AQ113" s="38" t="n">
        <f aca="false">(AQ106+AQ110+AQ111+AQ112)*AQ104</f>
        <v>0</v>
      </c>
      <c r="AR113" s="38" t="n">
        <f aca="false">(AR106+AR110+AR111+AR112)*AR104</f>
        <v>0</v>
      </c>
      <c r="AS113" s="38" t="n">
        <f aca="false">(AS106+AS110+AS111+AS112)*AS104</f>
        <v>0</v>
      </c>
      <c r="AT113" s="38" t="n">
        <f aca="false">(AT106+AT110+AT111+AT112)*AT104</f>
        <v>0</v>
      </c>
      <c r="AU113" s="38" t="n">
        <f aca="false">(AU106+AU110+AU111+AU112)*AU104</f>
        <v>0</v>
      </c>
      <c r="AV113" s="38" t="n">
        <f aca="false">(AV106+AV110+AV111+AV112)*AV104</f>
        <v>0</v>
      </c>
    </row>
    <row r="114" customFormat="false" ht="15" hidden="false" customHeight="false" outlineLevel="0" collapsed="false">
      <c r="B114" s="7" t="s">
        <v>147</v>
      </c>
      <c r="D114" s="37" t="n">
        <f aca="false">((MAX(Inputs!$C$5+1,DATE(D$103,1,1))+DATE(D$103,12,31))/2-Inputs!$C$5)/365</f>
        <v>0.253424657534247</v>
      </c>
      <c r="E114" s="37" t="n">
        <f aca="false">((MAX(Inputs!$C$5+1,DATE(E$103,1,1))+DATE(E$103,12,31))/2-Inputs!$C$5)/365</f>
        <v>1.00547945205479</v>
      </c>
      <c r="F114" s="37" t="n">
        <f aca="false">((MAX(Inputs!$C$5+1,DATE(F$103,1,1))+DATE(F$103,12,31))/2-Inputs!$C$5)/365</f>
        <v>2.00684931506849</v>
      </c>
      <c r="G114" s="37" t="n">
        <f aca="false">((MAX(Inputs!$C$5+1,DATE(G$103,1,1))+DATE(G$103,12,31))/2-Inputs!$C$5)/365</f>
        <v>3.00821917808219</v>
      </c>
      <c r="H114" s="37" t="n">
        <f aca="false">((MAX(Inputs!$C$5+1,DATE(H$103,1,1))+DATE(H$103,12,31))/2-Inputs!$C$5)/365</f>
        <v>4.00821917808219</v>
      </c>
      <c r="I114" s="37" t="n">
        <f aca="false">((MAX(Inputs!$C$5+1,DATE(I$103,1,1))+DATE(I$103,12,31))/2-Inputs!$C$5)/365</f>
        <v>5.00821917808219</v>
      </c>
      <c r="J114" s="37" t="n">
        <f aca="false">((MAX(Inputs!$C$5+1,DATE(J$103,1,1))+DATE(J$103,12,31))/2-Inputs!$C$5)/365</f>
        <v>6.00958904109589</v>
      </c>
      <c r="K114" s="37" t="n">
        <f aca="false">((MAX(Inputs!$C$5+1,DATE(K$103,1,1))+DATE(K$103,12,31))/2-Inputs!$C$5)/365</f>
        <v>7.01095890410959</v>
      </c>
      <c r="L114" s="37" t="n">
        <f aca="false">((MAX(Inputs!$C$5+1,DATE(L$103,1,1))+DATE(L$103,12,31))/2-Inputs!$C$5)/365</f>
        <v>8.01095890410959</v>
      </c>
      <c r="M114" s="37" t="n">
        <f aca="false">((MAX(Inputs!$C$5+1,DATE(M$103,1,1))+DATE(M$103,12,31))/2-Inputs!$C$5)/365</f>
        <v>9.01095890410959</v>
      </c>
      <c r="N114" s="37" t="n">
        <f aca="false">((MAX(Inputs!$C$5+1,DATE(N$103,1,1))+DATE(N$103,12,31))/2-Inputs!$C$5)/365</f>
        <v>10.0123287671233</v>
      </c>
      <c r="O114" s="37" t="n">
        <f aca="false">((MAX(Inputs!$C$5+1,DATE(O$103,1,1))+DATE(O$103,12,31))/2-Inputs!$C$5)/365</f>
        <v>11.013698630137</v>
      </c>
      <c r="P114" s="37" t="n">
        <f aca="false">((MAX(Inputs!$C$5+1,DATE(P$103,1,1))+DATE(P$103,12,31))/2-Inputs!$C$5)/365</f>
        <v>12.013698630137</v>
      </c>
      <c r="Q114" s="37" t="n">
        <f aca="false">((MAX(Inputs!$C$5+1,DATE(Q$103,1,1))+DATE(Q$103,12,31))/2-Inputs!$C$5)/365</f>
        <v>13.013698630137</v>
      </c>
      <c r="R114" s="37" t="n">
        <f aca="false">((MAX(Inputs!$C$5+1,DATE(R$103,1,1))+DATE(R$103,12,31))/2-Inputs!$C$5)/365</f>
        <v>14.0150684931507</v>
      </c>
      <c r="S114" s="37" t="n">
        <f aca="false">((MAX(Inputs!$C$5+1,DATE(S$103,1,1))+DATE(S$103,12,31))/2-Inputs!$C$5)/365</f>
        <v>15.0164383561644</v>
      </c>
      <c r="T114" s="37" t="n">
        <f aca="false">((MAX(Inputs!$C$5+1,DATE(T$103,1,1))+DATE(T$103,12,31))/2-Inputs!$C$5)/365</f>
        <v>16.0164383561644</v>
      </c>
      <c r="U114" s="37" t="n">
        <f aca="false">((MAX(Inputs!$C$5+1,DATE(U$103,1,1))+DATE(U$103,12,31))/2-Inputs!$C$5)/365</f>
        <v>17.0164383561644</v>
      </c>
      <c r="V114" s="37" t="n">
        <f aca="false">((MAX(Inputs!$C$5+1,DATE(V$103,1,1))+DATE(V$103,12,31))/2-Inputs!$C$5)/365</f>
        <v>18.0178082191781</v>
      </c>
      <c r="W114" s="37" t="n">
        <f aca="false">((MAX(Inputs!$C$5+1,DATE(W$103,1,1))+DATE(W$103,12,31))/2-Inputs!$C$5)/365</f>
        <v>19.0191780821918</v>
      </c>
      <c r="X114" s="37" t="n">
        <f aca="false">((MAX(Inputs!$C$5+1,DATE(X$103,1,1))+DATE(X$103,12,31))/2-Inputs!$C$5)/365</f>
        <v>20.0191780821918</v>
      </c>
      <c r="Y114" s="37" t="n">
        <f aca="false">((MAX(Inputs!$C$5+1,DATE(Y$103,1,1))+DATE(Y$103,12,31))/2-Inputs!$C$5)/365</f>
        <v>21.0191780821918</v>
      </c>
      <c r="Z114" s="37" t="n">
        <f aca="false">((MAX(Inputs!$C$5+1,DATE(Z$103,1,1))+DATE(Z$103,12,31))/2-Inputs!$C$5)/365</f>
        <v>22.0205479452055</v>
      </c>
      <c r="AA114" s="37" t="n">
        <f aca="false">((MAX(Inputs!$C$5+1,DATE(AA$103,1,1))+DATE(AA$103,12,31))/2-Inputs!$C$5)/365</f>
        <v>23.0219178082192</v>
      </c>
      <c r="AB114" s="37" t="n">
        <f aca="false">((MAX(Inputs!$C$5+1,DATE(AB$103,1,1))+DATE(AB$103,12,31))/2-Inputs!$C$5)/365</f>
        <v>24.0219178082192</v>
      </c>
      <c r="AC114" s="37" t="n">
        <f aca="false">((MAX(Inputs!$C$5+1,DATE(AC$103,1,1))+DATE(AC$103,12,31))/2-Inputs!$C$5)/365</f>
        <v>25.0219178082192</v>
      </c>
      <c r="AD114" s="37" t="n">
        <f aca="false">((MAX(Inputs!$C$5+1,DATE(AD$103,1,1))+DATE(AD$103,12,31))/2-Inputs!$C$5)/365</f>
        <v>26.0232876712329</v>
      </c>
      <c r="AE114" s="37" t="n">
        <f aca="false">((MAX(Inputs!$C$5+1,DATE(AE$103,1,1))+DATE(AE$103,12,31))/2-Inputs!$C$5)/365</f>
        <v>27.0246575342466</v>
      </c>
      <c r="AF114" s="37" t="n">
        <f aca="false">((MAX(Inputs!$C$5+1,DATE(AF$103,1,1))+DATE(AF$103,12,31))/2-Inputs!$C$5)/365</f>
        <v>28.0246575342466</v>
      </c>
      <c r="AG114" s="37" t="n">
        <f aca="false">((MAX(Inputs!$C$5+1,DATE(AG$103,1,1))+DATE(AG$103,12,31))/2-Inputs!$C$5)/365</f>
        <v>29.0246575342466</v>
      </c>
      <c r="AH114" s="37" t="n">
        <f aca="false">((MAX(Inputs!$C$5+1,DATE(AH$103,1,1))+DATE(AH$103,12,31))/2-Inputs!$C$5)/365</f>
        <v>30.0260273972603</v>
      </c>
      <c r="AI114" s="37" t="n">
        <f aca="false">((MAX(Inputs!$C$5+1,DATE(AI$103,1,1))+DATE(AI$103,12,31))/2-Inputs!$C$5)/365</f>
        <v>31.027397260274</v>
      </c>
      <c r="AJ114" s="37" t="n">
        <f aca="false">((MAX(Inputs!$C$5+1,DATE(AJ$103,1,1))+DATE(AJ$103,12,31))/2-Inputs!$C$5)/365</f>
        <v>32.027397260274</v>
      </c>
      <c r="AK114" s="37" t="n">
        <f aca="false">((MAX(Inputs!$C$5+1,DATE(AK$103,1,1))+DATE(AK$103,12,31))/2-Inputs!$C$5)/365</f>
        <v>33.027397260274</v>
      </c>
      <c r="AL114" s="37" t="n">
        <f aca="false">((MAX(Inputs!$C$5+1,DATE(AL$103,1,1))+DATE(AL$103,12,31))/2-Inputs!$C$5)/365</f>
        <v>34.0287671232877</v>
      </c>
      <c r="AM114" s="37" t="n">
        <f aca="false">((MAX(Inputs!$C$5+1,DATE(AM$103,1,1))+DATE(AM$103,12,31))/2-Inputs!$C$5)/365</f>
        <v>35.0301369863014</v>
      </c>
      <c r="AN114" s="37" t="n">
        <f aca="false">((MAX(Inputs!$C$5+1,DATE(AN$103,1,1))+DATE(AN$103,12,31))/2-Inputs!$C$5)/365</f>
        <v>36.0301369863014</v>
      </c>
      <c r="AO114" s="37" t="n">
        <f aca="false">((MAX(Inputs!$C$5+1,DATE(AO$103,1,1))+DATE(AO$103,12,31))/2-Inputs!$C$5)/365</f>
        <v>37.0301369863014</v>
      </c>
      <c r="AP114" s="37" t="n">
        <f aca="false">((MAX(Inputs!$C$5+1,DATE(AP$103,1,1))+DATE(AP$103,12,31))/2-Inputs!$C$5)/365</f>
        <v>38.0315068493151</v>
      </c>
      <c r="AQ114" s="37" t="n">
        <f aca="false">((MAX(Inputs!$C$5+1,DATE(AQ$103,1,1))+DATE(AQ$103,12,31))/2-Inputs!$C$5)/365</f>
        <v>39.0328767123288</v>
      </c>
      <c r="AR114" s="37" t="n">
        <f aca="false">((MAX(Inputs!$C$5+1,DATE(AR$103,1,1))+DATE(AR$103,12,31))/2-Inputs!$C$5)/365</f>
        <v>40.0328767123288</v>
      </c>
      <c r="AS114" s="37" t="n">
        <f aca="false">((MAX(Inputs!$C$5+1,DATE(AS$103,1,1))+DATE(AS$103,12,31))/2-Inputs!$C$5)/365</f>
        <v>41.0328767123288</v>
      </c>
      <c r="AT114" s="37" t="n">
        <f aca="false">((MAX(Inputs!$C$5+1,DATE(AT$103,1,1))+DATE(AT$103,12,31))/2-Inputs!$C$5)/365</f>
        <v>42.0342465753425</v>
      </c>
      <c r="AU114" s="37" t="n">
        <f aca="false">((MAX(Inputs!$C$5+1,DATE(AU$103,1,1))+DATE(AU$103,12,31))/2-Inputs!$C$5)/365</f>
        <v>43.0356164383562</v>
      </c>
      <c r="AV114" s="37" t="n">
        <f aca="false">((MAX(Inputs!$C$5+1,DATE(AV$103,1,1))+DATE(AV$103,12,31))/2-Inputs!$C$5)/365</f>
        <v>44.0356164383562</v>
      </c>
    </row>
    <row r="115" customFormat="false" ht="15" hidden="false" customHeight="false" outlineLevel="0" collapsed="false">
      <c r="B115" s="7" t="s">
        <v>148</v>
      </c>
      <c r="D115" s="39" t="n">
        <f aca="false">1/(1+$C$96)^D114</f>
        <v>0.980685143576944</v>
      </c>
      <c r="E115" s="39" t="n">
        <f aca="false">1/(1+$C$96)^E114</f>
        <v>0.925535541268318</v>
      </c>
      <c r="F115" s="39" t="n">
        <f aca="false">1/(1+$C$96)^F114</f>
        <v>0.856887010022368</v>
      </c>
      <c r="G115" s="39" t="n">
        <f aca="false">1/(1+$C$96)^G114</f>
        <v>0.793330256057891</v>
      </c>
      <c r="H115" s="39" t="n">
        <f aca="false">1/(1+$C$96)^H114</f>
        <v>0.734565051905455</v>
      </c>
      <c r="I115" s="39" t="n">
        <f aca="false">1/(1+$C$96)^I114</f>
        <v>0.680152825838384</v>
      </c>
      <c r="J115" s="39" t="n">
        <f aca="false">1/(1+$C$96)^J114</f>
        <v>0.629704744230839</v>
      </c>
      <c r="K115" s="39" t="n">
        <f aca="false">1/(1+$C$96)^K114</f>
        <v>0.582998481875084</v>
      </c>
      <c r="L115" s="39" t="n">
        <f aca="false">1/(1+$C$96)^L114</f>
        <v>0.539813409143596</v>
      </c>
      <c r="M115" s="39" t="n">
        <f aca="false">1/(1+$C$96)^M114</f>
        <v>0.499827230688515</v>
      </c>
      <c r="N115" s="39" t="n">
        <f aca="false">1/(1+$C$96)^N114</f>
        <v>0.462754202443185</v>
      </c>
      <c r="O115" s="39" t="n">
        <f aca="false">1/(1+$C$96)^O114</f>
        <v>0.428430943195806</v>
      </c>
      <c r="P115" s="39" t="n">
        <f aca="false">1/(1+$C$96)^P114</f>
        <v>0.396695317773895</v>
      </c>
      <c r="Q115" s="39" t="n">
        <f aca="false">1/(1+$C$96)^Q114</f>
        <v>0.367310479420273</v>
      </c>
      <c r="R115" s="39" t="n">
        <f aca="false">1/(1+$C$96)^R114</f>
        <v>0.34006644199639</v>
      </c>
      <c r="S115" s="39" t="n">
        <f aca="false">1/(1+$C$96)^S114</f>
        <v>0.31484314075277</v>
      </c>
      <c r="T115" s="39" t="n">
        <f aca="false">1/(1+$C$96)^T114</f>
        <v>0.291521426622935</v>
      </c>
      <c r="U115" s="39" t="n">
        <f aca="false">1/(1+$C$96)^U114</f>
        <v>0.269927246873088</v>
      </c>
      <c r="V115" s="39" t="n">
        <f aca="false">1/(1+$C$96)^V114</f>
        <v>0.249906287963495</v>
      </c>
      <c r="W115" s="39" t="n">
        <f aca="false">1/(1+$C$96)^W114</f>
        <v>0.231370317325013</v>
      </c>
      <c r="X115" s="39" t="n">
        <f aca="false">1/(1+$C$96)^X114</f>
        <v>0.214231775300938</v>
      </c>
      <c r="Y115" s="39" t="n">
        <f aca="false">1/(1+$C$96)^Y114</f>
        <v>0.198362754908276</v>
      </c>
      <c r="Z115" s="39" t="n">
        <f aca="false">1/(1+$C$96)^Z114</f>
        <v>0.183649855002031</v>
      </c>
      <c r="AA115" s="39" t="n">
        <f aca="false">1/(1+$C$96)^AA114</f>
        <v>0.170028235682966</v>
      </c>
      <c r="AB115" s="39" t="n">
        <f aca="false">1/(1+$C$96)^AB114</f>
        <v>0.157433551558302</v>
      </c>
      <c r="AC115" s="39" t="n">
        <f aca="false">1/(1+$C$96)^AC114</f>
        <v>0.145771806998428</v>
      </c>
      <c r="AD115" s="39" t="n">
        <f aca="false">1/(1+$C$96)^AD114</f>
        <v>0.134959666349786</v>
      </c>
      <c r="AE115" s="39" t="n">
        <f aca="false">1/(1+$C$96)^AE114</f>
        <v>0.124949480398785</v>
      </c>
      <c r="AF115" s="39" t="n">
        <f aca="false">1/(1+$C$96)^AF114</f>
        <v>0.115693963332208</v>
      </c>
      <c r="AG115" s="39" t="n">
        <f aca="false">1/(1+$C$96)^AG114</f>
        <v>0.107124040122415</v>
      </c>
      <c r="AH115" s="39" t="n">
        <f aca="false">1/(1+$C$96)^AH114</f>
        <v>0.0991784694904558</v>
      </c>
      <c r="AI115" s="39" t="n">
        <f aca="false">1/(1+$C$96)^AI114</f>
        <v>0.0918222352259012</v>
      </c>
      <c r="AJ115" s="39" t="n">
        <f aca="false">1/(1+$C$96)^AJ114</f>
        <v>0.0850205881721308</v>
      </c>
      <c r="AK115" s="39" t="n">
        <f aca="false">1/(1+$C$96)^AK114</f>
        <v>0.078722766826047</v>
      </c>
      <c r="AL115" s="39" t="n">
        <f aca="false">1/(1+$C$96)^AL114</f>
        <v>0.0728837665097331</v>
      </c>
      <c r="AM115" s="39" t="n">
        <f aca="false">1/(1+$C$96)^AM114</f>
        <v>0.0674778546895241</v>
      </c>
      <c r="AN115" s="39" t="n">
        <f aca="false">1/(1+$C$96)^AN114</f>
        <v>0.0624794950828926</v>
      </c>
      <c r="AO115" s="39" t="n">
        <f aca="false">1/(1+$C$96)^AO114</f>
        <v>0.0578513843360117</v>
      </c>
      <c r="AP115" s="39" t="n">
        <f aca="false">1/(1+$C$96)^AP114</f>
        <v>0.0535604496413052</v>
      </c>
      <c r="AQ115" s="39" t="n">
        <f aca="false">1/(1+$C$96)^AQ114</f>
        <v>0.049587780806017</v>
      </c>
      <c r="AR115" s="39" t="n">
        <f aca="false">1/(1+$C$96)^AR114</f>
        <v>0.0459146118574232</v>
      </c>
      <c r="AS115" s="39" t="n">
        <f aca="false">1/(1+$C$96)^AS114</f>
        <v>0.042513529497614</v>
      </c>
      <c r="AT115" s="39" t="n">
        <f aca="false">1/(1+$C$96)^AT114</f>
        <v>0.0393602293508761</v>
      </c>
      <c r="AU115" s="39" t="n">
        <f aca="false">1/(1+$C$96)^AU114</f>
        <v>0.036440814791454</v>
      </c>
      <c r="AV115" s="39" t="n">
        <f aca="false">1/(1+$C$96)^AV114</f>
        <v>0.0337414951772722</v>
      </c>
    </row>
    <row r="116" customFormat="false" ht="15" hidden="false" customHeight="false" outlineLevel="0" collapsed="false">
      <c r="B116" s="12" t="s">
        <v>149</v>
      </c>
      <c r="D116" s="40" t="n">
        <f aca="false">D113*D115</f>
        <v>386.766954699001</v>
      </c>
      <c r="E116" s="40" t="n">
        <f aca="false">E113*E115</f>
        <v>855.452788419186</v>
      </c>
      <c r="F116" s="40" t="n">
        <f aca="false">F113*F115</f>
        <v>817.997451194953</v>
      </c>
      <c r="G116" s="40" t="n">
        <f aca="false">G113*G115</f>
        <v>777.913687029268</v>
      </c>
      <c r="H116" s="40" t="n">
        <f aca="false">H113*H115</f>
        <v>741.899164481616</v>
      </c>
      <c r="I116" s="40" t="n">
        <f aca="false">I113*I115</f>
        <v>707.551980940801</v>
      </c>
      <c r="J116" s="40" t="n">
        <f aca="false">J113*J115</f>
        <v>676.572365924541</v>
      </c>
      <c r="K116" s="40" t="n">
        <f aca="false">K113*K115</f>
        <v>643.418757539671</v>
      </c>
      <c r="L116" s="40" t="n">
        <f aca="false">L113*L115</f>
        <v>613.63085209802</v>
      </c>
      <c r="M116" s="40" t="n">
        <f aca="false">M113*M115</f>
        <v>585.222016352741</v>
      </c>
      <c r="N116" s="40" t="n">
        <f aca="false">N113*N115</f>
        <v>559.598524010115</v>
      </c>
      <c r="O116" s="40" t="n">
        <f aca="false">O113*O115</f>
        <v>532.176904014699</v>
      </c>
      <c r="P116" s="40" t="n">
        <f aca="false">P113*P115</f>
        <v>507.539084384388</v>
      </c>
      <c r="Q116" s="40" t="n">
        <f aca="false">Q113*Q115</f>
        <v>484.041904551778</v>
      </c>
      <c r="R116" s="40" t="n">
        <f aca="false">R113*R115</f>
        <v>462.848504973118</v>
      </c>
      <c r="S116" s="40" t="n">
        <f aca="false">S113*S115</f>
        <v>440.167859341911</v>
      </c>
      <c r="T116" s="40" t="n">
        <f aca="false">T113*T115</f>
        <v>419.789717705712</v>
      </c>
      <c r="U116" s="40" t="n">
        <f aca="false">U113*U115</f>
        <v>400.35500855267</v>
      </c>
      <c r="V116" s="40" t="n">
        <f aca="false">V113*V115</f>
        <v>382.825774844213</v>
      </c>
      <c r="W116" s="40" t="n">
        <f aca="false">W113*W115</f>
        <v>364.066427791255</v>
      </c>
      <c r="X116" s="40" t="n">
        <f aca="false">X113*X115</f>
        <v>347.211500578697</v>
      </c>
      <c r="Y116" s="40" t="n">
        <f aca="false">Y113*Y115</f>
        <v>331.136894070423</v>
      </c>
      <c r="Z116" s="40" t="n">
        <f aca="false">Z113*Z115</f>
        <v>316.638321849141</v>
      </c>
      <c r="AA116" s="40" t="n">
        <f aca="false">AA113*AA115</f>
        <v>301.122312844127</v>
      </c>
      <c r="AB116" s="40" t="n">
        <f aca="false">AB113*AB115</f>
        <v>287.181465027269</v>
      </c>
      <c r="AC116" s="40" t="n">
        <f aca="false">AC113*AC115</f>
        <v>273.886026831563</v>
      </c>
      <c r="AD116" s="40" t="n">
        <f aca="false">AD113*AD115</f>
        <v>261.894139453489</v>
      </c>
      <c r="AE116" s="40" t="n">
        <f aca="false">AE113*AE115</f>
        <v>249.060721810325</v>
      </c>
      <c r="AF116" s="40" t="n">
        <f aca="false">AF113*AF115</f>
        <v>237.530132837625</v>
      </c>
      <c r="AG116" s="40" t="n">
        <f aca="false">AG113*AG115</f>
        <v>226.533367428475</v>
      </c>
      <c r="AH116" s="40" t="n">
        <f aca="false">AH113*AH115</f>
        <v>216.614779536262</v>
      </c>
      <c r="AI116" s="40" t="n">
        <f aca="false">AI113*AI115</f>
        <v>206.000155095746</v>
      </c>
      <c r="AJ116" s="40" t="n">
        <f aca="false">AJ113*AJ115</f>
        <v>196.463110878351</v>
      </c>
      <c r="AK116" s="40" t="n">
        <f aca="false">AK113*AK115</f>
        <v>0</v>
      </c>
      <c r="AL116" s="40" t="n">
        <f aca="false">AL113*AL115</f>
        <v>0</v>
      </c>
      <c r="AM116" s="40" t="n">
        <f aca="false">AM113*AM115</f>
        <v>0</v>
      </c>
      <c r="AN116" s="40" t="n">
        <f aca="false">AN113*AN115</f>
        <v>0</v>
      </c>
      <c r="AO116" s="40" t="n">
        <f aca="false">AO113*AO115</f>
        <v>0</v>
      </c>
      <c r="AP116" s="40" t="n">
        <f aca="false">AP113*AP115</f>
        <v>0</v>
      </c>
      <c r="AQ116" s="40" t="n">
        <f aca="false">AQ113*AQ115</f>
        <v>0</v>
      </c>
      <c r="AR116" s="40" t="n">
        <f aca="false">AR113*AR115</f>
        <v>0</v>
      </c>
      <c r="AS116" s="40" t="n">
        <f aca="false">AS113*AS115</f>
        <v>0</v>
      </c>
      <c r="AT116" s="40" t="n">
        <f aca="false">AT113*AT115</f>
        <v>0</v>
      </c>
      <c r="AU116" s="40" t="n">
        <f aca="false">AU113*AU115</f>
        <v>0</v>
      </c>
      <c r="AV116" s="40" t="n">
        <f aca="false">AV113*AV115</f>
        <v>0</v>
      </c>
    </row>
    <row r="117" customFormat="false" ht="15" hidden="false" customHeight="false" outlineLevel="0" collapsed="false">
      <c r="B117" s="7" t="s">
        <v>150</v>
      </c>
      <c r="D117" s="16" t="n">
        <f aca="false">IF(AND($C$97=0,D$103=$C$99),D106-D105*($C$101+$C$95)-MAX(0,D106-D105*$C$101)*Inputs!$C$11,0)</f>
        <v>0</v>
      </c>
      <c r="E117" s="16" t="n">
        <f aca="false">IF(AND($C$97=0,E$103=$C$99),E106-E105*($C$101+$C$95)-MAX(0,E106-E105*$C$101)*Inputs!$C$11,0)</f>
        <v>0</v>
      </c>
      <c r="F117" s="16" t="n">
        <f aca="false">IF(AND($C$97=0,F$103=$C$99),F106-F105*($C$101+$C$95)-MAX(0,F106-F105*$C$101)*Inputs!$C$11,0)</f>
        <v>0</v>
      </c>
      <c r="G117" s="16" t="n">
        <f aca="false">IF(AND($C$97=0,G$103=$C$99),G106-G105*($C$101+$C$95)-MAX(0,G106-G105*$C$101)*Inputs!$C$11,0)</f>
        <v>0</v>
      </c>
      <c r="H117" s="16" t="n">
        <f aca="false">IF(AND($C$97=0,H$103=$C$99),H106-H105*($C$101+$C$95)-MAX(0,H106-H105*$C$101)*Inputs!$C$11,0)</f>
        <v>0</v>
      </c>
      <c r="I117" s="16" t="n">
        <f aca="false">IF(AND($C$97=0,I$103=$C$99),I106-I105*($C$101+$C$95)-MAX(0,I106-I105*$C$101)*Inputs!$C$11,0)</f>
        <v>0</v>
      </c>
      <c r="J117" s="16" t="n">
        <f aca="false">IF(AND($C$97=0,J$103=$C$99),J106-J105*($C$101+$C$95)-MAX(0,J106-J105*$C$101)*Inputs!$C$11,0)</f>
        <v>0</v>
      </c>
      <c r="K117" s="16" t="n">
        <f aca="false">IF(AND($C$97=0,K$103=$C$99),K106-K105*($C$101+$C$95)-MAX(0,K106-K105*$C$101)*Inputs!$C$11,0)</f>
        <v>0</v>
      </c>
      <c r="L117" s="16" t="n">
        <f aca="false">IF(AND($C$97=0,L$103=$C$99),L106-L105*($C$101+$C$95)-MAX(0,L106-L105*$C$101)*Inputs!$C$11,0)</f>
        <v>0</v>
      </c>
      <c r="M117" s="16" t="n">
        <f aca="false">IF(AND($C$97=0,M$103=$C$99),M106-M105*($C$101+$C$95)-MAX(0,M106-M105*$C$101)*Inputs!$C$11,0)</f>
        <v>0</v>
      </c>
      <c r="N117" s="16" t="n">
        <f aca="false">IF(AND($C$97=0,N$103=$C$99),N106-N105*($C$101+$C$95)-MAX(0,N106-N105*$C$101)*Inputs!$C$11,0)</f>
        <v>0</v>
      </c>
      <c r="O117" s="16" t="n">
        <f aca="false">IF(AND($C$97=0,O$103=$C$99),O106-O105*($C$101+$C$95)-MAX(0,O106-O105*$C$101)*Inputs!$C$11,0)</f>
        <v>0</v>
      </c>
      <c r="P117" s="16" t="n">
        <f aca="false">IF(AND($C$97=0,P$103=$C$99),P106-P105*($C$101+$C$95)-MAX(0,P106-P105*$C$101)*Inputs!$C$11,0)</f>
        <v>0</v>
      </c>
      <c r="Q117" s="16" t="n">
        <f aca="false">IF(AND($C$97=0,Q$103=$C$99),Q106-Q105*($C$101+$C$95)-MAX(0,Q106-Q105*$C$101)*Inputs!$C$11,0)</f>
        <v>0</v>
      </c>
      <c r="R117" s="16" t="n">
        <f aca="false">IF(AND($C$97=0,R$103=$C$99),R106-R105*($C$101+$C$95)-MAX(0,R106-R105*$C$101)*Inputs!$C$11,0)</f>
        <v>0</v>
      </c>
      <c r="S117" s="16" t="n">
        <f aca="false">IF(AND($C$97=0,S$103=$C$99),S106-S105*($C$101+$C$95)-MAX(0,S106-S105*$C$101)*Inputs!$C$11,0)</f>
        <v>0</v>
      </c>
      <c r="T117" s="16" t="n">
        <f aca="false">IF(AND($C$97=0,T$103=$C$99),T106-T105*($C$101+$C$95)-MAX(0,T106-T105*$C$101)*Inputs!$C$11,0)</f>
        <v>0</v>
      </c>
      <c r="U117" s="16" t="n">
        <f aca="false">IF(AND($C$97=0,U$103=$C$99),U106-U105*($C$101+$C$95)-MAX(0,U106-U105*$C$101)*Inputs!$C$11,0)</f>
        <v>0</v>
      </c>
      <c r="V117" s="16" t="n">
        <f aca="false">IF(AND($C$97=0,V$103=$C$99),V106-V105*($C$101+$C$95)-MAX(0,V106-V105*$C$101)*Inputs!$C$11,0)</f>
        <v>0</v>
      </c>
      <c r="W117" s="16" t="n">
        <f aca="false">IF(AND($C$97=0,W$103=$C$99),W106-W105*($C$101+$C$95)-MAX(0,W106-W105*$C$101)*Inputs!$C$11,0)</f>
        <v>0</v>
      </c>
      <c r="X117" s="16" t="n">
        <f aca="false">IF(AND($C$97=0,X$103=$C$99),X106-X105*($C$101+$C$95)-MAX(0,X106-X105*$C$101)*Inputs!$C$11,0)</f>
        <v>0</v>
      </c>
      <c r="Y117" s="16" t="n">
        <f aca="false">IF(AND($C$97=0,Y$103=$C$99),Y106-Y105*($C$101+$C$95)-MAX(0,Y106-Y105*$C$101)*Inputs!$C$11,0)</f>
        <v>0</v>
      </c>
      <c r="Z117" s="16" t="n">
        <f aca="false">IF(AND($C$97=0,Z$103=$C$99),Z106-Z105*($C$101+$C$95)-MAX(0,Z106-Z105*$C$101)*Inputs!$C$11,0)</f>
        <v>0</v>
      </c>
      <c r="AA117" s="16" t="n">
        <f aca="false">IF(AND($C$97=0,AA$103=$C$99),AA106-AA105*($C$101+$C$95)-MAX(0,AA106-AA105*$C$101)*Inputs!$C$11,0)</f>
        <v>0</v>
      </c>
      <c r="AB117" s="16" t="n">
        <f aca="false">IF(AND($C$97=0,AB$103=$C$99),AB106-AB105*($C$101+$C$95)-MAX(0,AB106-AB105*$C$101)*Inputs!$C$11,0)</f>
        <v>0</v>
      </c>
      <c r="AC117" s="16" t="n">
        <f aca="false">IF(AND($C$97=0,AC$103=$C$99),AC106-AC105*($C$101+$C$95)-MAX(0,AC106-AC105*$C$101)*Inputs!$C$11,0)</f>
        <v>0</v>
      </c>
      <c r="AD117" s="16" t="n">
        <f aca="false">IF(AND($C$97=0,AD$103=$C$99),AD106-AD105*($C$101+$C$95)-MAX(0,AD106-AD105*$C$101)*Inputs!$C$11,0)</f>
        <v>0</v>
      </c>
      <c r="AE117" s="16" t="n">
        <f aca="false">IF(AND($C$97=0,AE$103=$C$99),AE106-AE105*($C$101+$C$95)-MAX(0,AE106-AE105*$C$101)*Inputs!$C$11,0)</f>
        <v>0</v>
      </c>
      <c r="AF117" s="16" t="n">
        <f aca="false">IF(AND($C$97=0,AF$103=$C$99),AF106-AF105*($C$101+$C$95)-MAX(0,AF106-AF105*$C$101)*Inputs!$C$11,0)</f>
        <v>0</v>
      </c>
      <c r="AG117" s="16" t="n">
        <f aca="false">IF(AND($C$97=0,AG$103=$C$99),AG106-AG105*($C$101+$C$95)-MAX(0,AG106-AG105*$C$101)*Inputs!$C$11,0)</f>
        <v>0</v>
      </c>
      <c r="AH117" s="16" t="n">
        <f aca="false">IF(AND($C$97=0,AH$103=$C$99),AH106-AH105*($C$101+$C$95)-MAX(0,AH106-AH105*$C$101)*Inputs!$C$11,0)</f>
        <v>0</v>
      </c>
      <c r="AI117" s="16" t="n">
        <f aca="false">IF(AND($C$97=0,AI$103=$C$99),AI106-AI105*($C$101+$C$95)-MAX(0,AI106-AI105*$C$101)*Inputs!$C$11,0)</f>
        <v>0</v>
      </c>
      <c r="AJ117" s="16" t="n">
        <f aca="false">IF(AND($C$97=0,AJ$103=$C$99),AJ106-AJ105*($C$101+$C$95)-MAX(0,AJ106-AJ105*$C$101)*Inputs!$C$11,0)</f>
        <v>0</v>
      </c>
      <c r="AK117" s="16" t="n">
        <f aca="false">IF(AND($C$97=0,AK$103=$C$99),AK106-AK105*($C$101+$C$95)-MAX(0,AK106-AK105*$C$101)*Inputs!$C$11,0)</f>
        <v>0</v>
      </c>
      <c r="AL117" s="16" t="n">
        <f aca="false">IF(AND($C$97=0,AL$103=$C$99),AL106-AL105*($C$101+$C$95)-MAX(0,AL106-AL105*$C$101)*Inputs!$C$11,0)</f>
        <v>0</v>
      </c>
      <c r="AM117" s="16" t="n">
        <f aca="false">IF(AND($C$97=0,AM$103=$C$99),AM106-AM105*($C$101+$C$95)-MAX(0,AM106-AM105*$C$101)*Inputs!$C$11,0)</f>
        <v>0</v>
      </c>
      <c r="AN117" s="16" t="n">
        <f aca="false">IF(AND($C$97=0,AN$103=$C$99),AN106-AN105*($C$101+$C$95)-MAX(0,AN106-AN105*$C$101)*Inputs!$C$11,0)</f>
        <v>0</v>
      </c>
      <c r="AO117" s="16" t="n">
        <f aca="false">IF(AND($C$97=0,AO$103=$C$99),AO106-AO105*($C$101+$C$95)-MAX(0,AO106-AO105*$C$101)*Inputs!$C$11,0)</f>
        <v>0</v>
      </c>
      <c r="AP117" s="16" t="n">
        <f aca="false">IF(AND($C$97=0,AP$103=$C$99),AP106-AP105*($C$101+$C$95)-MAX(0,AP106-AP105*$C$101)*Inputs!$C$11,0)</f>
        <v>0</v>
      </c>
      <c r="AQ117" s="16" t="n">
        <f aca="false">IF(AND($C$97=0,AQ$103=$C$99),AQ106-AQ105*($C$101+$C$95)-MAX(0,AQ106-AQ105*$C$101)*Inputs!$C$11,0)</f>
        <v>0</v>
      </c>
      <c r="AR117" s="16" t="n">
        <f aca="false">IF(AND($C$97=0,AR$103=$C$99),AR106-AR105*($C$101+$C$95)-MAX(0,AR106-AR105*$C$101)*Inputs!$C$11,0)</f>
        <v>0</v>
      </c>
      <c r="AS117" s="16" t="n">
        <f aca="false">IF(AND($C$97=0,AS$103=$C$99),AS106-AS105*($C$101+$C$95)-MAX(0,AS106-AS105*$C$101)*Inputs!$C$11,0)</f>
        <v>0</v>
      </c>
      <c r="AT117" s="16" t="n">
        <f aca="false">IF(AND($C$97=0,AT$103=$C$99),AT106-AT105*($C$101+$C$95)-MAX(0,AT106-AT105*$C$101)*Inputs!$C$11,0)</f>
        <v>0</v>
      </c>
      <c r="AU117" s="16" t="n">
        <f aca="false">IF(AND($C$97=0,AU$103=$C$99),AU106-AU105*($C$101+$C$95)-MAX(0,AU106-AU105*$C$101)*Inputs!$C$11,0)</f>
        <v>0</v>
      </c>
      <c r="AV117" s="16" t="n">
        <f aca="false">IF(AND($C$97=0,AV$103=$C$99),AV106-AV105*($C$101+$C$95)-MAX(0,AV106-AV105*$C$101)*Inputs!$C$11,0)</f>
        <v>0</v>
      </c>
    </row>
    <row r="118" customFormat="false" ht="15" hidden="false" customHeight="false" outlineLevel="0" collapsed="false">
      <c r="B118" s="7" t="s">
        <v>151</v>
      </c>
      <c r="D118" s="16" t="n">
        <f aca="false">D117*(1+$C$100)/($C$96-$C$100)*D115</f>
        <v>0</v>
      </c>
      <c r="E118" s="16" t="n">
        <f aca="false">E117*(1+$C$100)/($C$96-$C$100)*E115</f>
        <v>0</v>
      </c>
      <c r="F118" s="16" t="n">
        <f aca="false">F117*(1+$C$100)/($C$96-$C$100)*F115</f>
        <v>0</v>
      </c>
      <c r="G118" s="16" t="n">
        <f aca="false">G117*(1+$C$100)/($C$96-$C$100)*G115</f>
        <v>0</v>
      </c>
      <c r="H118" s="16" t="n">
        <f aca="false">H117*(1+$C$100)/($C$96-$C$100)*H115</f>
        <v>0</v>
      </c>
      <c r="I118" s="16" t="n">
        <f aca="false">I117*(1+$C$100)/($C$96-$C$100)*I115</f>
        <v>0</v>
      </c>
      <c r="J118" s="16" t="n">
        <f aca="false">J117*(1+$C$100)/($C$96-$C$100)*J115</f>
        <v>0</v>
      </c>
      <c r="K118" s="16" t="n">
        <f aca="false">K117*(1+$C$100)/($C$96-$C$100)*K115</f>
        <v>0</v>
      </c>
      <c r="L118" s="16" t="n">
        <f aca="false">L117*(1+$C$100)/($C$96-$C$100)*L115</f>
        <v>0</v>
      </c>
      <c r="M118" s="16" t="n">
        <f aca="false">M117*(1+$C$100)/($C$96-$C$100)*M115</f>
        <v>0</v>
      </c>
      <c r="N118" s="16" t="n">
        <f aca="false">N117*(1+$C$100)/($C$96-$C$100)*N115</f>
        <v>0</v>
      </c>
      <c r="O118" s="16" t="n">
        <f aca="false">O117*(1+$C$100)/($C$96-$C$100)*O115</f>
        <v>0</v>
      </c>
      <c r="P118" s="16" t="n">
        <f aca="false">P117*(1+$C$100)/($C$96-$C$100)*P115</f>
        <v>0</v>
      </c>
      <c r="Q118" s="16" t="n">
        <f aca="false">Q117*(1+$C$100)/($C$96-$C$100)*Q115</f>
        <v>0</v>
      </c>
      <c r="R118" s="16" t="n">
        <f aca="false">R117*(1+$C$100)/($C$96-$C$100)*R115</f>
        <v>0</v>
      </c>
      <c r="S118" s="16" t="n">
        <f aca="false">S117*(1+$C$100)/($C$96-$C$100)*S115</f>
        <v>0</v>
      </c>
      <c r="T118" s="16" t="n">
        <f aca="false">T117*(1+$C$100)/($C$96-$C$100)*T115</f>
        <v>0</v>
      </c>
      <c r="U118" s="16" t="n">
        <f aca="false">U117*(1+$C$100)/($C$96-$C$100)*U115</f>
        <v>0</v>
      </c>
      <c r="V118" s="16" t="n">
        <f aca="false">V117*(1+$C$100)/($C$96-$C$100)*V115</f>
        <v>0</v>
      </c>
      <c r="W118" s="16" t="n">
        <f aca="false">W117*(1+$C$100)/($C$96-$C$100)*W115</f>
        <v>0</v>
      </c>
      <c r="X118" s="16" t="n">
        <f aca="false">X117*(1+$C$100)/($C$96-$C$100)*X115</f>
        <v>0</v>
      </c>
      <c r="Y118" s="16" t="n">
        <f aca="false">Y117*(1+$C$100)/($C$96-$C$100)*Y115</f>
        <v>0</v>
      </c>
      <c r="Z118" s="16" t="n">
        <f aca="false">Z117*(1+$C$100)/($C$96-$C$100)*Z115</f>
        <v>0</v>
      </c>
      <c r="AA118" s="16" t="n">
        <f aca="false">AA117*(1+$C$100)/($C$96-$C$100)*AA115</f>
        <v>0</v>
      </c>
      <c r="AB118" s="16" t="n">
        <f aca="false">AB117*(1+$C$100)/($C$96-$C$100)*AB115</f>
        <v>0</v>
      </c>
      <c r="AC118" s="16" t="n">
        <f aca="false">AC117*(1+$C$100)/($C$96-$C$100)*AC115</f>
        <v>0</v>
      </c>
      <c r="AD118" s="16" t="n">
        <f aca="false">AD117*(1+$C$100)/($C$96-$C$100)*AD115</f>
        <v>0</v>
      </c>
      <c r="AE118" s="16" t="n">
        <f aca="false">AE117*(1+$C$100)/($C$96-$C$100)*AE115</f>
        <v>0</v>
      </c>
      <c r="AF118" s="16" t="n">
        <f aca="false">AF117*(1+$C$100)/($C$96-$C$100)*AF115</f>
        <v>0</v>
      </c>
      <c r="AG118" s="16" t="n">
        <f aca="false">AG117*(1+$C$100)/($C$96-$C$100)*AG115</f>
        <v>0</v>
      </c>
      <c r="AH118" s="16" t="n">
        <f aca="false">AH117*(1+$C$100)/($C$96-$C$100)*AH115</f>
        <v>0</v>
      </c>
      <c r="AI118" s="16" t="n">
        <f aca="false">AI117*(1+$C$100)/($C$96-$C$100)*AI115</f>
        <v>0</v>
      </c>
      <c r="AJ118" s="16" t="n">
        <f aca="false">AJ117*(1+$C$100)/($C$96-$C$100)*AJ115</f>
        <v>0</v>
      </c>
      <c r="AK118" s="16" t="n">
        <f aca="false">AK117*(1+$C$100)/($C$96-$C$100)*AK115</f>
        <v>0</v>
      </c>
      <c r="AL118" s="16" t="n">
        <f aca="false">AL117*(1+$C$100)/($C$96-$C$100)*AL115</f>
        <v>0</v>
      </c>
      <c r="AM118" s="16" t="n">
        <f aca="false">AM117*(1+$C$100)/($C$96-$C$100)*AM115</f>
        <v>0</v>
      </c>
      <c r="AN118" s="16" t="n">
        <f aca="false">AN117*(1+$C$100)/($C$96-$C$100)*AN115</f>
        <v>0</v>
      </c>
      <c r="AO118" s="16" t="n">
        <f aca="false">AO117*(1+$C$100)/($C$96-$C$100)*AO115</f>
        <v>0</v>
      </c>
      <c r="AP118" s="16" t="n">
        <f aca="false">AP117*(1+$C$100)/($C$96-$C$100)*AP115</f>
        <v>0</v>
      </c>
      <c r="AQ118" s="16" t="n">
        <f aca="false">AQ117*(1+$C$100)/($C$96-$C$100)*AQ115</f>
        <v>0</v>
      </c>
      <c r="AR118" s="16" t="n">
        <f aca="false">AR117*(1+$C$100)/($C$96-$C$100)*AR115</f>
        <v>0</v>
      </c>
      <c r="AS118" s="16" t="n">
        <f aca="false">AS117*(1+$C$100)/($C$96-$C$100)*AS115</f>
        <v>0</v>
      </c>
      <c r="AT118" s="16" t="n">
        <f aca="false">AT117*(1+$C$100)/($C$96-$C$100)*AT115</f>
        <v>0</v>
      </c>
      <c r="AU118" s="16" t="n">
        <f aca="false">AU117*(1+$C$100)/($C$96-$C$100)*AU115</f>
        <v>0</v>
      </c>
      <c r="AV118" s="16" t="n">
        <f aca="false">AV117*(1+$C$100)/($C$96-$C$100)*AV115</f>
        <v>0</v>
      </c>
    </row>
    <row r="120" customFormat="false" ht="15" hidden="false" customHeight="false" outlineLevel="0" collapsed="false">
      <c r="B120" s="7" t="s">
        <v>152</v>
      </c>
      <c r="C120" s="16" t="n">
        <f aca="false">SUM($D$116:$AV$116)</f>
        <v>14811.1086570911</v>
      </c>
    </row>
    <row r="121" customFormat="false" ht="15" hidden="false" customHeight="false" outlineLevel="0" collapsed="false">
      <c r="B121" s="7" t="s">
        <v>151</v>
      </c>
      <c r="C121" s="16" t="n">
        <f aca="false">SUM($D$118:$AV$118)</f>
        <v>0</v>
      </c>
    </row>
    <row r="122" customFormat="false" ht="15" hidden="false" customHeight="false" outlineLevel="0" collapsed="false">
      <c r="B122" s="12" t="s">
        <v>171</v>
      </c>
      <c r="C122" s="13" t="n">
        <f aca="false">C120+C121</f>
        <v>14811.1086570911</v>
      </c>
    </row>
    <row r="123" customFormat="false" ht="15" hidden="false" customHeight="false" outlineLevel="0" collapsed="false">
      <c r="B123" s="7" t="s">
        <v>154</v>
      </c>
      <c r="C123" s="10" t="n">
        <f aca="false">IF(C122=0,0,C121/C122)</f>
        <v>0</v>
      </c>
    </row>
    <row r="124" customFormat="false" ht="15" hidden="false" customHeight="false" outlineLevel="0" collapsed="false">
      <c r="B124" s="7" t="s">
        <v>155</v>
      </c>
      <c r="C124" s="41" t="n">
        <f aca="false">IF(D106=0,0,C122/D106)</f>
        <v>9.44798664504713</v>
      </c>
    </row>
    <row r="125" customFormat="false" ht="15" hidden="false" customHeight="false" outlineLevel="0" collapsed="false">
      <c r="B125" s="7" t="s">
        <v>156</v>
      </c>
      <c r="C125" s="16" t="n">
        <f aca="false">SUM($D$117:$AV$117)</f>
        <v>0</v>
      </c>
    </row>
    <row r="126" customFormat="false" ht="15" hidden="false" customHeight="false" outlineLevel="0" collapsed="false">
      <c r="B126" s="7" t="s">
        <v>157</v>
      </c>
      <c r="C126" s="37" t="n">
        <f aca="false">SUMPRODUCT(($D$103:$AV$103=$C$99)*$D$114:$AV$114)</f>
        <v>0</v>
      </c>
    </row>
    <row r="127" customFormat="false" ht="15" hidden="false" customHeight="false" outlineLevel="0" collapsed="false">
      <c r="B127" s="12" t="s">
        <v>158</v>
      </c>
      <c r="C127" s="12" t="str">
        <f aca="false">IF(AND($C$96&gt;$C$100,SUMPRODUCT(($D$103:$AV$103&gt;YEAR($C$98))*($C$97=1)*ABS($D$113:$AV$113))=0),"OK","REVISAR")</f>
        <v>OK</v>
      </c>
    </row>
  </sheetData>
  <mergeCells count="6">
    <mergeCell ref="B4:F4"/>
    <mergeCell ref="D5:N17"/>
    <mergeCell ref="B46:F46"/>
    <mergeCell ref="D47:N59"/>
    <mergeCell ref="B88:F88"/>
    <mergeCell ref="D89:N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V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2" min="2" style="0" width="58"/>
    <col collapsed="false" customWidth="true" hidden="false" outlineLevel="0" max="3" min="3" style="0" width="14"/>
    <col collapsed="false" customWidth="true" hidden="false" outlineLevel="0" max="48" min="4" style="0" width="9"/>
  </cols>
  <sheetData>
    <row r="2" customFormat="false" ht="16.15" hidden="false" customHeight="false" outlineLevel="0" collapsed="false">
      <c r="B2" s="4" t="s">
        <v>172</v>
      </c>
    </row>
    <row r="4" customFormat="false" ht="15" hidden="false" customHeight="false" outlineLevel="0" collapsed="false">
      <c r="B4" s="22" t="s">
        <v>38</v>
      </c>
      <c r="C4" s="22"/>
      <c r="D4" s="22"/>
      <c r="E4" s="22"/>
      <c r="F4" s="22"/>
    </row>
    <row r="5" customFormat="false" ht="15" hidden="false" customHeight="true" outlineLevel="0" collapsed="false">
      <c r="B5" s="7" t="s">
        <v>122</v>
      </c>
      <c r="C5" s="31" t="n">
        <v>690</v>
      </c>
      <c r="D5" s="33" t="s">
        <v>173</v>
      </c>
      <c r="E5" s="33"/>
      <c r="F5" s="33"/>
      <c r="G5" s="33"/>
      <c r="H5" s="33"/>
      <c r="I5" s="33"/>
      <c r="J5" s="33"/>
      <c r="K5" s="33"/>
      <c r="L5" s="33"/>
      <c r="M5" s="33"/>
      <c r="N5" s="33"/>
    </row>
    <row r="6" customFormat="false" ht="15" hidden="false" customHeight="false" outlineLevel="0" collapsed="false">
      <c r="B6" s="7" t="s">
        <v>124</v>
      </c>
      <c r="C6" s="29" t="n">
        <v>0.053</v>
      </c>
      <c r="D6" s="33"/>
      <c r="E6" s="33"/>
      <c r="F6" s="33"/>
      <c r="G6" s="33"/>
      <c r="H6" s="33"/>
      <c r="I6" s="33"/>
      <c r="J6" s="33"/>
      <c r="K6" s="33"/>
      <c r="L6" s="33"/>
      <c r="M6" s="33"/>
      <c r="N6" s="33"/>
    </row>
    <row r="7" customFormat="false" ht="15" hidden="false" customHeight="false" outlineLevel="0" collapsed="false">
      <c r="B7" s="7" t="s">
        <v>125</v>
      </c>
      <c r="C7" s="30" t="n">
        <v>0.04</v>
      </c>
      <c r="D7" s="33"/>
      <c r="E7" s="33"/>
      <c r="F7" s="33"/>
      <c r="G7" s="33"/>
      <c r="H7" s="33"/>
      <c r="I7" s="33"/>
      <c r="J7" s="33"/>
      <c r="K7" s="33"/>
      <c r="L7" s="33"/>
      <c r="M7" s="33"/>
      <c r="N7" s="33"/>
    </row>
    <row r="8" customFormat="false" ht="15" hidden="false" customHeight="false" outlineLevel="0" collapsed="false">
      <c r="B8" s="7" t="s">
        <v>126</v>
      </c>
      <c r="C8" s="29" t="n">
        <v>0.4986</v>
      </c>
      <c r="D8" s="33"/>
      <c r="E8" s="33"/>
      <c r="F8" s="33"/>
      <c r="G8" s="33"/>
      <c r="H8" s="33"/>
      <c r="I8" s="33"/>
      <c r="J8" s="33"/>
      <c r="K8" s="33"/>
      <c r="L8" s="33"/>
      <c r="M8" s="33"/>
      <c r="N8" s="33"/>
    </row>
    <row r="9" customFormat="false" ht="15" hidden="false" customHeight="false" outlineLevel="0" collapsed="false">
      <c r="B9" s="7" t="s">
        <v>127</v>
      </c>
      <c r="C9" s="29" t="n">
        <v>0.1478</v>
      </c>
      <c r="D9" s="33"/>
      <c r="E9" s="33"/>
      <c r="F9" s="33"/>
      <c r="G9" s="33"/>
      <c r="H9" s="33"/>
      <c r="I9" s="33"/>
      <c r="J9" s="33"/>
      <c r="K9" s="33"/>
      <c r="L9" s="33"/>
      <c r="M9" s="33"/>
      <c r="N9" s="33"/>
    </row>
    <row r="10" customFormat="false" ht="15" hidden="false" customHeight="false" outlineLevel="0" collapsed="false">
      <c r="B10" s="7" t="s">
        <v>128</v>
      </c>
      <c r="C10" s="29" t="n">
        <v>0.0464</v>
      </c>
      <c r="D10" s="33"/>
      <c r="E10" s="33"/>
      <c r="F10" s="33"/>
      <c r="G10" s="33"/>
      <c r="H10" s="33"/>
      <c r="I10" s="33"/>
      <c r="J10" s="33"/>
      <c r="K10" s="33"/>
      <c r="L10" s="33"/>
      <c r="M10" s="33"/>
      <c r="N10" s="33"/>
    </row>
    <row r="11" customFormat="false" ht="15" hidden="false" customHeight="false" outlineLevel="0" collapsed="false">
      <c r="B11" s="7" t="s">
        <v>129</v>
      </c>
      <c r="C11" s="29" t="n">
        <v>0.0043</v>
      </c>
      <c r="D11" s="33"/>
      <c r="E11" s="33"/>
      <c r="F11" s="33"/>
      <c r="G11" s="33"/>
      <c r="H11" s="33"/>
      <c r="I11" s="33"/>
      <c r="J11" s="33"/>
      <c r="K11" s="33"/>
      <c r="L11" s="33"/>
      <c r="M11" s="33"/>
      <c r="N11" s="33"/>
    </row>
    <row r="12" customFormat="false" ht="15" hidden="false" customHeight="false" outlineLevel="0" collapsed="false">
      <c r="B12" s="7" t="s">
        <v>130</v>
      </c>
      <c r="C12" s="30" t="n">
        <v>0.08</v>
      </c>
      <c r="D12" s="33"/>
      <c r="E12" s="33"/>
      <c r="F12" s="33"/>
      <c r="G12" s="33"/>
      <c r="H12" s="33"/>
      <c r="I12" s="33"/>
      <c r="J12" s="33"/>
      <c r="K12" s="33"/>
      <c r="L12" s="33"/>
      <c r="M12" s="33"/>
      <c r="N12" s="33"/>
    </row>
    <row r="13" customFormat="false" ht="15" hidden="false" customHeight="false" outlineLevel="0" collapsed="false">
      <c r="B13" s="7" t="s">
        <v>131</v>
      </c>
      <c r="C13" s="34" t="n">
        <v>1</v>
      </c>
      <c r="D13" s="33"/>
      <c r="E13" s="33"/>
      <c r="F13" s="33"/>
      <c r="G13" s="33"/>
      <c r="H13" s="33"/>
      <c r="I13" s="33"/>
      <c r="J13" s="33"/>
      <c r="K13" s="33"/>
      <c r="L13" s="33"/>
      <c r="M13" s="33"/>
      <c r="N13" s="33"/>
    </row>
    <row r="14" customFormat="false" ht="15" hidden="false" customHeight="false" outlineLevel="0" collapsed="false">
      <c r="B14" s="7" t="s">
        <v>132</v>
      </c>
      <c r="C14" s="35" t="n">
        <v>55153</v>
      </c>
      <c r="D14" s="33"/>
      <c r="E14" s="33"/>
      <c r="F14" s="33"/>
      <c r="G14" s="33"/>
      <c r="H14" s="33"/>
      <c r="I14" s="33"/>
      <c r="J14" s="33"/>
      <c r="K14" s="33"/>
      <c r="L14" s="33"/>
      <c r="M14" s="33"/>
      <c r="N14" s="33"/>
    </row>
    <row r="15" customFormat="false" ht="15" hidden="false" customHeight="false" outlineLevel="0" collapsed="false">
      <c r="B15" s="7" t="s">
        <v>133</v>
      </c>
      <c r="C15" s="34" t="n">
        <v>0</v>
      </c>
      <c r="D15" s="33"/>
      <c r="E15" s="33"/>
      <c r="F15" s="33"/>
      <c r="G15" s="33"/>
      <c r="H15" s="33"/>
      <c r="I15" s="33"/>
      <c r="J15" s="33"/>
      <c r="K15" s="33"/>
      <c r="L15" s="33"/>
      <c r="M15" s="33"/>
      <c r="N15" s="33"/>
    </row>
    <row r="16" customFormat="false" ht="15" hidden="false" customHeight="false" outlineLevel="0" collapsed="false">
      <c r="B16" s="7" t="s">
        <v>134</v>
      </c>
      <c r="C16" s="30" t="n">
        <v>0</v>
      </c>
      <c r="D16" s="33"/>
      <c r="E16" s="33"/>
      <c r="F16" s="33"/>
      <c r="G16" s="33"/>
      <c r="H16" s="33"/>
      <c r="I16" s="33"/>
      <c r="J16" s="33"/>
      <c r="K16" s="33"/>
      <c r="L16" s="33"/>
      <c r="M16" s="33"/>
      <c r="N16" s="33"/>
    </row>
    <row r="17" customFormat="false" ht="15" hidden="false" customHeight="false" outlineLevel="0" collapsed="false">
      <c r="B17" s="7" t="s">
        <v>135</v>
      </c>
      <c r="C17" s="29" t="n">
        <v>0</v>
      </c>
      <c r="D17" s="33"/>
      <c r="E17" s="33"/>
      <c r="F17" s="33"/>
      <c r="G17" s="33"/>
      <c r="H17" s="33"/>
      <c r="I17" s="33"/>
      <c r="J17" s="33"/>
      <c r="K17" s="33"/>
      <c r="L17" s="33"/>
      <c r="M17" s="33"/>
      <c r="N17" s="33"/>
    </row>
    <row r="19" customFormat="false" ht="15" hidden="false" customHeight="false" outlineLevel="0" collapsed="false">
      <c r="B19" s="6" t="s">
        <v>136</v>
      </c>
      <c r="D19" s="36" t="n">
        <v>2026</v>
      </c>
      <c r="E19" s="36" t="n">
        <v>2027</v>
      </c>
      <c r="F19" s="36" t="n">
        <v>2028</v>
      </c>
      <c r="G19" s="36" t="n">
        <v>2029</v>
      </c>
      <c r="H19" s="36" t="n">
        <v>2030</v>
      </c>
      <c r="I19" s="36" t="n">
        <v>2031</v>
      </c>
      <c r="J19" s="36" t="n">
        <v>2032</v>
      </c>
      <c r="K19" s="36" t="n">
        <v>2033</v>
      </c>
      <c r="L19" s="36" t="n">
        <v>2034</v>
      </c>
      <c r="M19" s="36" t="n">
        <v>2035</v>
      </c>
      <c r="N19" s="36" t="n">
        <v>2036</v>
      </c>
      <c r="O19" s="36" t="n">
        <v>2037</v>
      </c>
      <c r="P19" s="36" t="n">
        <v>2038</v>
      </c>
      <c r="Q19" s="36" t="n">
        <v>2039</v>
      </c>
      <c r="R19" s="36" t="n">
        <v>2040</v>
      </c>
      <c r="S19" s="36" t="n">
        <v>2041</v>
      </c>
      <c r="T19" s="36" t="n">
        <v>2042</v>
      </c>
      <c r="U19" s="36" t="n">
        <v>2043</v>
      </c>
      <c r="V19" s="36" t="n">
        <v>2044</v>
      </c>
      <c r="W19" s="36" t="n">
        <v>2045</v>
      </c>
      <c r="X19" s="36" t="n">
        <v>2046</v>
      </c>
      <c r="Y19" s="36" t="n">
        <v>2047</v>
      </c>
      <c r="Z19" s="36" t="n">
        <v>2048</v>
      </c>
      <c r="AA19" s="36" t="n">
        <v>2049</v>
      </c>
      <c r="AB19" s="36" t="n">
        <v>2050</v>
      </c>
      <c r="AC19" s="36" t="n">
        <v>2051</v>
      </c>
      <c r="AD19" s="36" t="n">
        <v>2052</v>
      </c>
      <c r="AE19" s="36" t="n">
        <v>2053</v>
      </c>
      <c r="AF19" s="36" t="n">
        <v>2054</v>
      </c>
      <c r="AG19" s="36" t="n">
        <v>2055</v>
      </c>
      <c r="AH19" s="36" t="n">
        <v>2056</v>
      </c>
      <c r="AI19" s="36" t="n">
        <v>2057</v>
      </c>
      <c r="AJ19" s="36" t="n">
        <v>2058</v>
      </c>
      <c r="AK19" s="36" t="n">
        <v>2059</v>
      </c>
      <c r="AL19" s="36" t="n">
        <v>2060</v>
      </c>
      <c r="AM19" s="36" t="n">
        <v>2061</v>
      </c>
      <c r="AN19" s="36" t="n">
        <v>2062</v>
      </c>
      <c r="AO19" s="36" t="n">
        <v>2063</v>
      </c>
      <c r="AP19" s="36" t="n">
        <v>2064</v>
      </c>
      <c r="AQ19" s="36" t="n">
        <v>2065</v>
      </c>
      <c r="AR19" s="36" t="n">
        <v>2066</v>
      </c>
      <c r="AS19" s="36" t="n">
        <v>2067</v>
      </c>
      <c r="AT19" s="36" t="n">
        <v>2068</v>
      </c>
      <c r="AU19" s="36" t="n">
        <v>2069</v>
      </c>
      <c r="AV19" s="36" t="n">
        <v>2070</v>
      </c>
    </row>
    <row r="20" customFormat="false" ht="15" hidden="false" customHeight="false" outlineLevel="0" collapsed="false">
      <c r="B20" s="7" t="s">
        <v>137</v>
      </c>
      <c r="D20" s="37" t="n">
        <f aca="false">IF($C$13=1,MAX(0,MIN(DATE(D$19,12,31),$C$14)-MAX(Inputs!$C$5+1,DATE(D$19,1,1))+1)/365,IF(D$19&lt;=$C$15,(DATE(D$19,12,31)-MAX(Inputs!$C$5+1,DATE(D$19,1,1))+1)/365,0))</f>
        <v>0.504109589041096</v>
      </c>
      <c r="E20" s="37" t="n">
        <f aca="false">IF($C$13=1,MAX(0,MIN(DATE(E$19,12,31),$C$14)-MAX(Inputs!$C$5+1,DATE(E$19,1,1))+1)/365,IF(E$19&lt;=$C$15,(DATE(E$19,12,31)-MAX(Inputs!$C$5+1,DATE(E$19,1,1))+1)/365,0))</f>
        <v>1</v>
      </c>
      <c r="F20" s="37" t="n">
        <f aca="false">IF($C$13=1,MAX(0,MIN(DATE(F$19,12,31),$C$14)-MAX(Inputs!$C$5+1,DATE(F$19,1,1))+1)/365,IF(F$19&lt;=$C$15,(DATE(F$19,12,31)-MAX(Inputs!$C$5+1,DATE(F$19,1,1))+1)/365,0))</f>
        <v>1.0027397260274</v>
      </c>
      <c r="G20" s="37" t="n">
        <f aca="false">IF($C$13=1,MAX(0,MIN(DATE(G$19,12,31),$C$14)-MAX(Inputs!$C$5+1,DATE(G$19,1,1))+1)/365,IF(G$19&lt;=$C$15,(DATE(G$19,12,31)-MAX(Inputs!$C$5+1,DATE(G$19,1,1))+1)/365,0))</f>
        <v>1</v>
      </c>
      <c r="H20" s="37" t="n">
        <f aca="false">IF($C$13=1,MAX(0,MIN(DATE(H$19,12,31),$C$14)-MAX(Inputs!$C$5+1,DATE(H$19,1,1))+1)/365,IF(H$19&lt;=$C$15,(DATE(H$19,12,31)-MAX(Inputs!$C$5+1,DATE(H$19,1,1))+1)/365,0))</f>
        <v>1</v>
      </c>
      <c r="I20" s="37" t="n">
        <f aca="false">IF($C$13=1,MAX(0,MIN(DATE(I$19,12,31),$C$14)-MAX(Inputs!$C$5+1,DATE(I$19,1,1))+1)/365,IF(I$19&lt;=$C$15,(DATE(I$19,12,31)-MAX(Inputs!$C$5+1,DATE(I$19,1,1))+1)/365,0))</f>
        <v>1</v>
      </c>
      <c r="J20" s="37" t="n">
        <f aca="false">IF($C$13=1,MAX(0,MIN(DATE(J$19,12,31),$C$14)-MAX(Inputs!$C$5+1,DATE(J$19,1,1))+1)/365,IF(J$19&lt;=$C$15,(DATE(J$19,12,31)-MAX(Inputs!$C$5+1,DATE(J$19,1,1))+1)/365,0))</f>
        <v>1.0027397260274</v>
      </c>
      <c r="K20" s="37" t="n">
        <f aca="false">IF($C$13=1,MAX(0,MIN(DATE(K$19,12,31),$C$14)-MAX(Inputs!$C$5+1,DATE(K$19,1,1))+1)/365,IF(K$19&lt;=$C$15,(DATE(K$19,12,31)-MAX(Inputs!$C$5+1,DATE(K$19,1,1))+1)/365,0))</f>
        <v>1</v>
      </c>
      <c r="L20" s="37" t="n">
        <f aca="false">IF($C$13=1,MAX(0,MIN(DATE(L$19,12,31),$C$14)-MAX(Inputs!$C$5+1,DATE(L$19,1,1))+1)/365,IF(L$19&lt;=$C$15,(DATE(L$19,12,31)-MAX(Inputs!$C$5+1,DATE(L$19,1,1))+1)/365,0))</f>
        <v>1</v>
      </c>
      <c r="M20" s="37" t="n">
        <f aca="false">IF($C$13=1,MAX(0,MIN(DATE(M$19,12,31),$C$14)-MAX(Inputs!$C$5+1,DATE(M$19,1,1))+1)/365,IF(M$19&lt;=$C$15,(DATE(M$19,12,31)-MAX(Inputs!$C$5+1,DATE(M$19,1,1))+1)/365,0))</f>
        <v>1</v>
      </c>
      <c r="N20" s="37" t="n">
        <f aca="false">IF($C$13=1,MAX(0,MIN(DATE(N$19,12,31),$C$14)-MAX(Inputs!$C$5+1,DATE(N$19,1,1))+1)/365,IF(N$19&lt;=$C$15,(DATE(N$19,12,31)-MAX(Inputs!$C$5+1,DATE(N$19,1,1))+1)/365,0))</f>
        <v>1.0027397260274</v>
      </c>
      <c r="O20" s="37" t="n">
        <f aca="false">IF($C$13=1,MAX(0,MIN(DATE(O$19,12,31),$C$14)-MAX(Inputs!$C$5+1,DATE(O$19,1,1))+1)/365,IF(O$19&lt;=$C$15,(DATE(O$19,12,31)-MAX(Inputs!$C$5+1,DATE(O$19,1,1))+1)/365,0))</f>
        <v>1</v>
      </c>
      <c r="P20" s="37" t="n">
        <f aca="false">IF($C$13=1,MAX(0,MIN(DATE(P$19,12,31),$C$14)-MAX(Inputs!$C$5+1,DATE(P$19,1,1))+1)/365,IF(P$19&lt;=$C$15,(DATE(P$19,12,31)-MAX(Inputs!$C$5+1,DATE(P$19,1,1))+1)/365,0))</f>
        <v>1</v>
      </c>
      <c r="Q20" s="37" t="n">
        <f aca="false">IF($C$13=1,MAX(0,MIN(DATE(Q$19,12,31),$C$14)-MAX(Inputs!$C$5+1,DATE(Q$19,1,1))+1)/365,IF(Q$19&lt;=$C$15,(DATE(Q$19,12,31)-MAX(Inputs!$C$5+1,DATE(Q$19,1,1))+1)/365,0))</f>
        <v>1</v>
      </c>
      <c r="R20" s="37" t="n">
        <f aca="false">IF($C$13=1,MAX(0,MIN(DATE(R$19,12,31),$C$14)-MAX(Inputs!$C$5+1,DATE(R$19,1,1))+1)/365,IF(R$19&lt;=$C$15,(DATE(R$19,12,31)-MAX(Inputs!$C$5+1,DATE(R$19,1,1))+1)/365,0))</f>
        <v>1.0027397260274</v>
      </c>
      <c r="S20" s="37" t="n">
        <f aca="false">IF($C$13=1,MAX(0,MIN(DATE(S$19,12,31),$C$14)-MAX(Inputs!$C$5+1,DATE(S$19,1,1))+1)/365,IF(S$19&lt;=$C$15,(DATE(S$19,12,31)-MAX(Inputs!$C$5+1,DATE(S$19,1,1))+1)/365,0))</f>
        <v>1</v>
      </c>
      <c r="T20" s="37" t="n">
        <f aca="false">IF($C$13=1,MAX(0,MIN(DATE(T$19,12,31),$C$14)-MAX(Inputs!$C$5+1,DATE(T$19,1,1))+1)/365,IF(T$19&lt;=$C$15,(DATE(T$19,12,31)-MAX(Inputs!$C$5+1,DATE(T$19,1,1))+1)/365,0))</f>
        <v>1</v>
      </c>
      <c r="U20" s="37" t="n">
        <f aca="false">IF($C$13=1,MAX(0,MIN(DATE(U$19,12,31),$C$14)-MAX(Inputs!$C$5+1,DATE(U$19,1,1))+1)/365,IF(U$19&lt;=$C$15,(DATE(U$19,12,31)-MAX(Inputs!$C$5+1,DATE(U$19,1,1))+1)/365,0))</f>
        <v>1</v>
      </c>
      <c r="V20" s="37" t="n">
        <f aca="false">IF($C$13=1,MAX(0,MIN(DATE(V$19,12,31),$C$14)-MAX(Inputs!$C$5+1,DATE(V$19,1,1))+1)/365,IF(V$19&lt;=$C$15,(DATE(V$19,12,31)-MAX(Inputs!$C$5+1,DATE(V$19,1,1))+1)/365,0))</f>
        <v>1.0027397260274</v>
      </c>
      <c r="W20" s="37" t="n">
        <f aca="false">IF($C$13=1,MAX(0,MIN(DATE(W$19,12,31),$C$14)-MAX(Inputs!$C$5+1,DATE(W$19,1,1))+1)/365,IF(W$19&lt;=$C$15,(DATE(W$19,12,31)-MAX(Inputs!$C$5+1,DATE(W$19,1,1))+1)/365,0))</f>
        <v>1</v>
      </c>
      <c r="X20" s="37" t="n">
        <f aca="false">IF($C$13=1,MAX(0,MIN(DATE(X$19,12,31),$C$14)-MAX(Inputs!$C$5+1,DATE(X$19,1,1))+1)/365,IF(X$19&lt;=$C$15,(DATE(X$19,12,31)-MAX(Inputs!$C$5+1,DATE(X$19,1,1))+1)/365,0))</f>
        <v>1</v>
      </c>
      <c r="Y20" s="37" t="n">
        <f aca="false">IF($C$13=1,MAX(0,MIN(DATE(Y$19,12,31),$C$14)-MAX(Inputs!$C$5+1,DATE(Y$19,1,1))+1)/365,IF(Y$19&lt;=$C$15,(DATE(Y$19,12,31)-MAX(Inputs!$C$5+1,DATE(Y$19,1,1))+1)/365,0))</f>
        <v>1</v>
      </c>
      <c r="Z20" s="37" t="n">
        <f aca="false">IF($C$13=1,MAX(0,MIN(DATE(Z$19,12,31),$C$14)-MAX(Inputs!$C$5+1,DATE(Z$19,1,1))+1)/365,IF(Z$19&lt;=$C$15,(DATE(Z$19,12,31)-MAX(Inputs!$C$5+1,DATE(Z$19,1,1))+1)/365,0))</f>
        <v>1.0027397260274</v>
      </c>
      <c r="AA20" s="37" t="n">
        <f aca="false">IF($C$13=1,MAX(0,MIN(DATE(AA$19,12,31),$C$14)-MAX(Inputs!$C$5+1,DATE(AA$19,1,1))+1)/365,IF(AA$19&lt;=$C$15,(DATE(AA$19,12,31)-MAX(Inputs!$C$5+1,DATE(AA$19,1,1))+1)/365,0))</f>
        <v>1</v>
      </c>
      <c r="AB20" s="37" t="n">
        <f aca="false">IF($C$13=1,MAX(0,MIN(DATE(AB$19,12,31),$C$14)-MAX(Inputs!$C$5+1,DATE(AB$19,1,1))+1)/365,IF(AB$19&lt;=$C$15,(DATE(AB$19,12,31)-MAX(Inputs!$C$5+1,DATE(AB$19,1,1))+1)/365,0))</f>
        <v>1</v>
      </c>
      <c r="AC20" s="37" t="n">
        <f aca="false">IF($C$13=1,MAX(0,MIN(DATE(AC$19,12,31),$C$14)-MAX(Inputs!$C$5+1,DATE(AC$19,1,1))+1)/365,IF(AC$19&lt;=$C$15,(DATE(AC$19,12,31)-MAX(Inputs!$C$5+1,DATE(AC$19,1,1))+1)/365,0))</f>
        <v>0</v>
      </c>
      <c r="AD20" s="37" t="n">
        <f aca="false">IF($C$13=1,MAX(0,MIN(DATE(AD$19,12,31),$C$14)-MAX(Inputs!$C$5+1,DATE(AD$19,1,1))+1)/365,IF(AD$19&lt;=$C$15,(DATE(AD$19,12,31)-MAX(Inputs!$C$5+1,DATE(AD$19,1,1))+1)/365,0))</f>
        <v>0</v>
      </c>
      <c r="AE20" s="37" t="n">
        <f aca="false">IF($C$13=1,MAX(0,MIN(DATE(AE$19,12,31),$C$14)-MAX(Inputs!$C$5+1,DATE(AE$19,1,1))+1)/365,IF(AE$19&lt;=$C$15,(DATE(AE$19,12,31)-MAX(Inputs!$C$5+1,DATE(AE$19,1,1))+1)/365,0))</f>
        <v>0</v>
      </c>
      <c r="AF20" s="37" t="n">
        <f aca="false">IF($C$13=1,MAX(0,MIN(DATE(AF$19,12,31),$C$14)-MAX(Inputs!$C$5+1,DATE(AF$19,1,1))+1)/365,IF(AF$19&lt;=$C$15,(DATE(AF$19,12,31)-MAX(Inputs!$C$5+1,DATE(AF$19,1,1))+1)/365,0))</f>
        <v>0</v>
      </c>
      <c r="AG20" s="37" t="n">
        <f aca="false">IF($C$13=1,MAX(0,MIN(DATE(AG$19,12,31),$C$14)-MAX(Inputs!$C$5+1,DATE(AG$19,1,1))+1)/365,IF(AG$19&lt;=$C$15,(DATE(AG$19,12,31)-MAX(Inputs!$C$5+1,DATE(AG$19,1,1))+1)/365,0))</f>
        <v>0</v>
      </c>
      <c r="AH20" s="37" t="n">
        <f aca="false">IF($C$13=1,MAX(0,MIN(DATE(AH$19,12,31),$C$14)-MAX(Inputs!$C$5+1,DATE(AH$19,1,1))+1)/365,IF(AH$19&lt;=$C$15,(DATE(AH$19,12,31)-MAX(Inputs!$C$5+1,DATE(AH$19,1,1))+1)/365,0))</f>
        <v>0</v>
      </c>
      <c r="AI20" s="37" t="n">
        <f aca="false">IF($C$13=1,MAX(0,MIN(DATE(AI$19,12,31),$C$14)-MAX(Inputs!$C$5+1,DATE(AI$19,1,1))+1)/365,IF(AI$19&lt;=$C$15,(DATE(AI$19,12,31)-MAX(Inputs!$C$5+1,DATE(AI$19,1,1))+1)/365,0))</f>
        <v>0</v>
      </c>
      <c r="AJ20" s="37" t="n">
        <f aca="false">IF($C$13=1,MAX(0,MIN(DATE(AJ$19,12,31),$C$14)-MAX(Inputs!$C$5+1,DATE(AJ$19,1,1))+1)/365,IF(AJ$19&lt;=$C$15,(DATE(AJ$19,12,31)-MAX(Inputs!$C$5+1,DATE(AJ$19,1,1))+1)/365,0))</f>
        <v>0</v>
      </c>
      <c r="AK20" s="37" t="n">
        <f aca="false">IF($C$13=1,MAX(0,MIN(DATE(AK$19,12,31),$C$14)-MAX(Inputs!$C$5+1,DATE(AK$19,1,1))+1)/365,IF(AK$19&lt;=$C$15,(DATE(AK$19,12,31)-MAX(Inputs!$C$5+1,DATE(AK$19,1,1))+1)/365,0))</f>
        <v>0</v>
      </c>
      <c r="AL20" s="37" t="n">
        <f aca="false">IF($C$13=1,MAX(0,MIN(DATE(AL$19,12,31),$C$14)-MAX(Inputs!$C$5+1,DATE(AL$19,1,1))+1)/365,IF(AL$19&lt;=$C$15,(DATE(AL$19,12,31)-MAX(Inputs!$C$5+1,DATE(AL$19,1,1))+1)/365,0))</f>
        <v>0</v>
      </c>
      <c r="AM20" s="37" t="n">
        <f aca="false">IF($C$13=1,MAX(0,MIN(DATE(AM$19,12,31),$C$14)-MAX(Inputs!$C$5+1,DATE(AM$19,1,1))+1)/365,IF(AM$19&lt;=$C$15,(DATE(AM$19,12,31)-MAX(Inputs!$C$5+1,DATE(AM$19,1,1))+1)/365,0))</f>
        <v>0</v>
      </c>
      <c r="AN20" s="37" t="n">
        <f aca="false">IF($C$13=1,MAX(0,MIN(DATE(AN$19,12,31),$C$14)-MAX(Inputs!$C$5+1,DATE(AN$19,1,1))+1)/365,IF(AN$19&lt;=$C$15,(DATE(AN$19,12,31)-MAX(Inputs!$C$5+1,DATE(AN$19,1,1))+1)/365,0))</f>
        <v>0</v>
      </c>
      <c r="AO20" s="37" t="n">
        <f aca="false">IF($C$13=1,MAX(0,MIN(DATE(AO$19,12,31),$C$14)-MAX(Inputs!$C$5+1,DATE(AO$19,1,1))+1)/365,IF(AO$19&lt;=$C$15,(DATE(AO$19,12,31)-MAX(Inputs!$C$5+1,DATE(AO$19,1,1))+1)/365,0))</f>
        <v>0</v>
      </c>
      <c r="AP20" s="37" t="n">
        <f aca="false">IF($C$13=1,MAX(0,MIN(DATE(AP$19,12,31),$C$14)-MAX(Inputs!$C$5+1,DATE(AP$19,1,1))+1)/365,IF(AP$19&lt;=$C$15,(DATE(AP$19,12,31)-MAX(Inputs!$C$5+1,DATE(AP$19,1,1))+1)/365,0))</f>
        <v>0</v>
      </c>
      <c r="AQ20" s="37" t="n">
        <f aca="false">IF($C$13=1,MAX(0,MIN(DATE(AQ$19,12,31),$C$14)-MAX(Inputs!$C$5+1,DATE(AQ$19,1,1))+1)/365,IF(AQ$19&lt;=$C$15,(DATE(AQ$19,12,31)-MAX(Inputs!$C$5+1,DATE(AQ$19,1,1))+1)/365,0))</f>
        <v>0</v>
      </c>
      <c r="AR20" s="37" t="n">
        <f aca="false">IF($C$13=1,MAX(0,MIN(DATE(AR$19,12,31),$C$14)-MAX(Inputs!$C$5+1,DATE(AR$19,1,1))+1)/365,IF(AR$19&lt;=$C$15,(DATE(AR$19,12,31)-MAX(Inputs!$C$5+1,DATE(AR$19,1,1))+1)/365,0))</f>
        <v>0</v>
      </c>
      <c r="AS20" s="37" t="n">
        <f aca="false">IF($C$13=1,MAX(0,MIN(DATE(AS$19,12,31),$C$14)-MAX(Inputs!$C$5+1,DATE(AS$19,1,1))+1)/365,IF(AS$19&lt;=$C$15,(DATE(AS$19,12,31)-MAX(Inputs!$C$5+1,DATE(AS$19,1,1))+1)/365,0))</f>
        <v>0</v>
      </c>
      <c r="AT20" s="37" t="n">
        <f aca="false">IF($C$13=1,MAX(0,MIN(DATE(AT$19,12,31),$C$14)-MAX(Inputs!$C$5+1,DATE(AT$19,1,1))+1)/365,IF(AT$19&lt;=$C$15,(DATE(AT$19,12,31)-MAX(Inputs!$C$5+1,DATE(AT$19,1,1))+1)/365,0))</f>
        <v>0</v>
      </c>
      <c r="AU20" s="37" t="n">
        <f aca="false">IF($C$13=1,MAX(0,MIN(DATE(AU$19,12,31),$C$14)-MAX(Inputs!$C$5+1,DATE(AU$19,1,1))+1)/365,IF(AU$19&lt;=$C$15,(DATE(AU$19,12,31)-MAX(Inputs!$C$5+1,DATE(AU$19,1,1))+1)/365,0))</f>
        <v>0</v>
      </c>
      <c r="AV20" s="37" t="n">
        <f aca="false">IF($C$13=1,MAX(0,MIN(DATE(AV$19,12,31),$C$14)-MAX(Inputs!$C$5+1,DATE(AV$19,1,1))+1)/365,IF(AV$19&lt;=$C$15,(DATE(AV$19,12,31)-MAX(Inputs!$C$5+1,DATE(AV$19,1,1))+1)/365,0))</f>
        <v>0</v>
      </c>
    </row>
    <row r="21" customFormat="false" ht="15" hidden="false" customHeight="false" outlineLevel="0" collapsed="false">
      <c r="B21" s="7" t="s">
        <v>138</v>
      </c>
      <c r="D21" s="16" t="n">
        <f aca="false">$C$5*(1+$C$6)</f>
        <v>726.57</v>
      </c>
      <c r="E21" s="16" t="n">
        <f aca="false">D21*(1+$C$7)</f>
        <v>755.6328</v>
      </c>
      <c r="F21" s="16" t="n">
        <f aca="false">E21*(1+$C$7)</f>
        <v>785.858112</v>
      </c>
      <c r="G21" s="16" t="n">
        <f aca="false">F21*(1+$C$7)</f>
        <v>817.29243648</v>
      </c>
      <c r="H21" s="16" t="n">
        <f aca="false">G21*(1+$C$7)</f>
        <v>849.9841339392</v>
      </c>
      <c r="I21" s="16" t="n">
        <f aca="false">H21*(1+$C$7)</f>
        <v>883.983499296768</v>
      </c>
      <c r="J21" s="16" t="n">
        <f aca="false">I21*(1+$C$7)</f>
        <v>919.342839268639</v>
      </c>
      <c r="K21" s="16" t="n">
        <f aca="false">J21*(1+$C$7)</f>
        <v>956.116552839384</v>
      </c>
      <c r="L21" s="16" t="n">
        <f aca="false">K21*(1+$C$7)</f>
        <v>994.36121495296</v>
      </c>
      <c r="M21" s="16" t="n">
        <f aca="false">L21*(1+$C$7)</f>
        <v>1034.13566355108</v>
      </c>
      <c r="N21" s="16" t="n">
        <f aca="false">M21*(1+$C$7)</f>
        <v>1075.50109009312</v>
      </c>
      <c r="O21" s="16" t="n">
        <f aca="false">N21*(1+$C$7)</f>
        <v>1118.52113369685</v>
      </c>
      <c r="P21" s="16" t="n">
        <f aca="false">O21*(1+$C$7)</f>
        <v>1163.26197904472</v>
      </c>
      <c r="Q21" s="16" t="n">
        <f aca="false">P21*(1+$C$7)</f>
        <v>1209.79245820651</v>
      </c>
      <c r="R21" s="16" t="n">
        <f aca="false">Q21*(1+$C$7)</f>
        <v>1258.18415653477</v>
      </c>
      <c r="S21" s="16" t="n">
        <f aca="false">R21*(1+$C$7)</f>
        <v>1308.51152279616</v>
      </c>
      <c r="T21" s="16" t="n">
        <f aca="false">S21*(1+$C$7)</f>
        <v>1360.85198370801</v>
      </c>
      <c r="U21" s="16" t="n">
        <f aca="false">T21*(1+$C$7)</f>
        <v>1415.28606305633</v>
      </c>
      <c r="V21" s="16" t="n">
        <f aca="false">U21*(1+$C$7)</f>
        <v>1471.89750557858</v>
      </c>
      <c r="W21" s="16" t="n">
        <f aca="false">V21*(1+$C$7)</f>
        <v>1530.77340580172</v>
      </c>
      <c r="X21" s="16" t="n">
        <f aca="false">W21*(1+$C$7)</f>
        <v>1592.00434203379</v>
      </c>
      <c r="Y21" s="16" t="n">
        <f aca="false">X21*(1+$C$7)</f>
        <v>1655.68451571514</v>
      </c>
      <c r="Z21" s="16" t="n">
        <f aca="false">Y21*(1+$C$7)</f>
        <v>1721.91189634375</v>
      </c>
      <c r="AA21" s="16" t="n">
        <f aca="false">Z21*(1+$C$7)</f>
        <v>1790.7883721975</v>
      </c>
      <c r="AB21" s="16" t="n">
        <f aca="false">AA21*(1+$C$7)</f>
        <v>1862.4199070854</v>
      </c>
      <c r="AC21" s="16" t="n">
        <f aca="false">AB21*(1+$C$7)</f>
        <v>1936.91670336882</v>
      </c>
      <c r="AD21" s="16" t="n">
        <f aca="false">AC21*(1+$C$7)</f>
        <v>2014.39337150357</v>
      </c>
      <c r="AE21" s="16" t="n">
        <f aca="false">AD21*(1+$C$7)</f>
        <v>2094.96910636371</v>
      </c>
      <c r="AF21" s="16" t="n">
        <f aca="false">AE21*(1+$C$7)</f>
        <v>2178.76787061826</v>
      </c>
      <c r="AG21" s="16" t="n">
        <f aca="false">AF21*(1+$C$7)</f>
        <v>2265.91858544299</v>
      </c>
      <c r="AH21" s="16" t="n">
        <f aca="false">AG21*(1+$C$7)</f>
        <v>2356.55532886071</v>
      </c>
      <c r="AI21" s="16" t="n">
        <f aca="false">AH21*(1+$C$7)</f>
        <v>2450.81754201514</v>
      </c>
      <c r="AJ21" s="16" t="n">
        <f aca="false">AI21*(1+$C$7)</f>
        <v>2548.85024369574</v>
      </c>
      <c r="AK21" s="16" t="n">
        <f aca="false">AJ21*(1+$C$7)</f>
        <v>2650.80425344357</v>
      </c>
      <c r="AL21" s="16" t="n">
        <f aca="false">AK21*(1+$C$7)</f>
        <v>2756.83642358132</v>
      </c>
      <c r="AM21" s="16" t="n">
        <f aca="false">AL21*(1+$C$7)</f>
        <v>2867.10988052457</v>
      </c>
      <c r="AN21" s="16" t="n">
        <f aca="false">AM21*(1+$C$7)</f>
        <v>2981.79427574555</v>
      </c>
      <c r="AO21" s="16" t="n">
        <f aca="false">AN21*(1+$C$7)</f>
        <v>3101.06604677537</v>
      </c>
      <c r="AP21" s="16" t="n">
        <f aca="false">AO21*(1+$C$7)</f>
        <v>3225.10868864639</v>
      </c>
      <c r="AQ21" s="16" t="n">
        <f aca="false">AP21*(1+$C$7)</f>
        <v>3354.11303619225</v>
      </c>
      <c r="AR21" s="16" t="n">
        <f aca="false">AQ21*(1+$C$7)</f>
        <v>3488.27755763994</v>
      </c>
      <c r="AS21" s="16" t="n">
        <f aca="false">AR21*(1+$C$7)</f>
        <v>3627.80865994553</v>
      </c>
      <c r="AT21" s="16" t="n">
        <f aca="false">AS21*(1+$C$7)</f>
        <v>3772.92100634335</v>
      </c>
      <c r="AU21" s="16" t="n">
        <f aca="false">AT21*(1+$C$7)</f>
        <v>3923.83784659709</v>
      </c>
      <c r="AV21" s="16" t="n">
        <f aca="false">AU21*(1+$C$7)</f>
        <v>4080.79136046097</v>
      </c>
    </row>
    <row r="22" customFormat="false" ht="15" hidden="false" customHeight="false" outlineLevel="0" collapsed="false">
      <c r="B22" s="7" t="s">
        <v>139</v>
      </c>
      <c r="D22" s="16" t="n">
        <f aca="false">D21*$C$8</f>
        <v>362.267802</v>
      </c>
      <c r="E22" s="16" t="n">
        <f aca="false">E21*$C$8</f>
        <v>376.75851408</v>
      </c>
      <c r="F22" s="16" t="n">
        <f aca="false">F21*$C$8</f>
        <v>391.8288546432</v>
      </c>
      <c r="G22" s="16" t="n">
        <f aca="false">G21*$C$8</f>
        <v>407.502008828928</v>
      </c>
      <c r="H22" s="16" t="n">
        <f aca="false">H21*$C$8</f>
        <v>423.802089182085</v>
      </c>
      <c r="I22" s="16" t="n">
        <f aca="false">I21*$C$8</f>
        <v>440.754172749369</v>
      </c>
      <c r="J22" s="16" t="n">
        <f aca="false">J21*$C$8</f>
        <v>458.384339659343</v>
      </c>
      <c r="K22" s="16" t="n">
        <f aca="false">K21*$C$8</f>
        <v>476.719713245717</v>
      </c>
      <c r="L22" s="16" t="n">
        <f aca="false">L21*$C$8</f>
        <v>495.788501775546</v>
      </c>
      <c r="M22" s="16" t="n">
        <f aca="false">M21*$C$8</f>
        <v>515.620041846568</v>
      </c>
      <c r="N22" s="16" t="n">
        <f aca="false">N21*$C$8</f>
        <v>536.24484352043</v>
      </c>
      <c r="O22" s="16" t="n">
        <f aca="false">O21*$C$8</f>
        <v>557.694637261248</v>
      </c>
      <c r="P22" s="16" t="n">
        <f aca="false">P21*$C$8</f>
        <v>580.002422751698</v>
      </c>
      <c r="Q22" s="16" t="n">
        <f aca="false">Q21*$C$8</f>
        <v>603.202519661766</v>
      </c>
      <c r="R22" s="16" t="n">
        <f aca="false">R21*$C$8</f>
        <v>627.330620448236</v>
      </c>
      <c r="S22" s="16" t="n">
        <f aca="false">S21*$C$8</f>
        <v>652.423845266166</v>
      </c>
      <c r="T22" s="16" t="n">
        <f aca="false">T21*$C$8</f>
        <v>678.520799076812</v>
      </c>
      <c r="U22" s="16" t="n">
        <f aca="false">U21*$C$8</f>
        <v>705.661631039885</v>
      </c>
      <c r="V22" s="16" t="n">
        <f aca="false">V21*$C$8</f>
        <v>733.88809628148</v>
      </c>
      <c r="W22" s="16" t="n">
        <f aca="false">W21*$C$8</f>
        <v>763.243620132739</v>
      </c>
      <c r="X22" s="16" t="n">
        <f aca="false">X21*$C$8</f>
        <v>793.773364938049</v>
      </c>
      <c r="Y22" s="16" t="n">
        <f aca="false">Y21*$C$8</f>
        <v>825.524299535571</v>
      </c>
      <c r="Z22" s="16" t="n">
        <f aca="false">Z21*$C$8</f>
        <v>858.545271516994</v>
      </c>
      <c r="AA22" s="16" t="n">
        <f aca="false">AA21*$C$8</f>
        <v>892.887082377673</v>
      </c>
      <c r="AB22" s="16" t="n">
        <f aca="false">AB21*$C$8</f>
        <v>928.60256567278</v>
      </c>
      <c r="AC22" s="16" t="n">
        <f aca="false">AC21*$C$8</f>
        <v>965.746668299692</v>
      </c>
      <c r="AD22" s="16" t="n">
        <f aca="false">AD21*$C$8</f>
        <v>1004.37653503168</v>
      </c>
      <c r="AE22" s="16" t="n">
        <f aca="false">AE21*$C$8</f>
        <v>1044.55159643295</v>
      </c>
      <c r="AF22" s="16" t="n">
        <f aca="false">AF21*$C$8</f>
        <v>1086.33366029026</v>
      </c>
      <c r="AG22" s="16" t="n">
        <f aca="false">AG21*$C$8</f>
        <v>1129.78700670188</v>
      </c>
      <c r="AH22" s="16" t="n">
        <f aca="false">AH21*$C$8</f>
        <v>1174.97848696995</v>
      </c>
      <c r="AI22" s="16" t="n">
        <f aca="false">AI21*$C$8</f>
        <v>1221.97762644875</v>
      </c>
      <c r="AJ22" s="16" t="n">
        <f aca="false">AJ21*$C$8</f>
        <v>1270.8567315067</v>
      </c>
      <c r="AK22" s="16" t="n">
        <f aca="false">AK21*$C$8</f>
        <v>1321.69100076697</v>
      </c>
      <c r="AL22" s="16" t="n">
        <f aca="false">AL21*$C$8</f>
        <v>1374.55864079764</v>
      </c>
      <c r="AM22" s="16" t="n">
        <f aca="false">AM21*$C$8</f>
        <v>1429.54098642955</v>
      </c>
      <c r="AN22" s="16" t="n">
        <f aca="false">AN21*$C$8</f>
        <v>1486.72262588673</v>
      </c>
      <c r="AO22" s="16" t="n">
        <f aca="false">AO21*$C$8</f>
        <v>1546.1915309222</v>
      </c>
      <c r="AP22" s="16" t="n">
        <f aca="false">AP21*$C$8</f>
        <v>1608.03919215909</v>
      </c>
      <c r="AQ22" s="16" t="n">
        <f aca="false">AQ21*$C$8</f>
        <v>1672.36075984545</v>
      </c>
      <c r="AR22" s="16" t="n">
        <f aca="false">AR21*$C$8</f>
        <v>1739.25519023927</v>
      </c>
      <c r="AS22" s="16" t="n">
        <f aca="false">AS21*$C$8</f>
        <v>1808.82539784884</v>
      </c>
      <c r="AT22" s="16" t="n">
        <f aca="false">AT21*$C$8</f>
        <v>1881.1784137628</v>
      </c>
      <c r="AU22" s="16" t="n">
        <f aca="false">AU21*$C$8</f>
        <v>1956.42555031331</v>
      </c>
      <c r="AV22" s="16" t="n">
        <f aca="false">AV21*$C$8</f>
        <v>2034.68257232584</v>
      </c>
    </row>
    <row r="23" customFormat="false" ht="15" hidden="false" customHeight="false" outlineLevel="0" collapsed="false">
      <c r="B23" s="7" t="s">
        <v>140</v>
      </c>
      <c r="D23" s="16" t="n">
        <f aca="false">-D21*$C$9</f>
        <v>-107.387046</v>
      </c>
      <c r="E23" s="16" t="n">
        <f aca="false">-E21*$C$9</f>
        <v>-111.68252784</v>
      </c>
      <c r="F23" s="16" t="n">
        <f aca="false">-F21*$C$9</f>
        <v>-116.1498289536</v>
      </c>
      <c r="G23" s="16" t="n">
        <f aca="false">-G21*$C$9</f>
        <v>-120.795822111744</v>
      </c>
      <c r="H23" s="16" t="n">
        <f aca="false">-H21*$C$9</f>
        <v>-125.627654996214</v>
      </c>
      <c r="I23" s="16" t="n">
        <f aca="false">-I21*$C$9</f>
        <v>-130.652761196062</v>
      </c>
      <c r="J23" s="16" t="n">
        <f aca="false">-J21*$C$9</f>
        <v>-135.878871643905</v>
      </c>
      <c r="K23" s="16" t="n">
        <f aca="false">-K21*$C$9</f>
        <v>-141.314026509661</v>
      </c>
      <c r="L23" s="16" t="n">
        <f aca="false">-L21*$C$9</f>
        <v>-146.966587570047</v>
      </c>
      <c r="M23" s="16" t="n">
        <f aca="false">-M21*$C$9</f>
        <v>-152.845251072849</v>
      </c>
      <c r="N23" s="16" t="n">
        <f aca="false">-N21*$C$9</f>
        <v>-158.959061115763</v>
      </c>
      <c r="O23" s="16" t="n">
        <f aca="false">-O21*$C$9</f>
        <v>-165.317423560394</v>
      </c>
      <c r="P23" s="16" t="n">
        <f aca="false">-P21*$C$9</f>
        <v>-171.93012050281</v>
      </c>
      <c r="Q23" s="16" t="n">
        <f aca="false">-Q21*$C$9</f>
        <v>-178.807325322922</v>
      </c>
      <c r="R23" s="16" t="n">
        <f aca="false">-R21*$C$9</f>
        <v>-185.959618335839</v>
      </c>
      <c r="S23" s="16" t="n">
        <f aca="false">-S21*$C$9</f>
        <v>-193.398003069272</v>
      </c>
      <c r="T23" s="16" t="n">
        <f aca="false">-T21*$C$9</f>
        <v>-201.133923192043</v>
      </c>
      <c r="U23" s="16" t="n">
        <f aca="false">-U21*$C$9</f>
        <v>-209.179280119725</v>
      </c>
      <c r="V23" s="16" t="n">
        <f aca="false">-V21*$C$9</f>
        <v>-217.546451324514</v>
      </c>
      <c r="W23" s="16" t="n">
        <f aca="false">-W21*$C$9</f>
        <v>-226.248309377495</v>
      </c>
      <c r="X23" s="16" t="n">
        <f aca="false">-X21*$C$9</f>
        <v>-235.298241752595</v>
      </c>
      <c r="Y23" s="16" t="n">
        <f aca="false">-Y21*$C$9</f>
        <v>-244.710171422698</v>
      </c>
      <c r="Z23" s="16" t="n">
        <f aca="false">-Z21*$C$9</f>
        <v>-254.498578279606</v>
      </c>
      <c r="AA23" s="16" t="n">
        <f aca="false">-AA21*$C$9</f>
        <v>-264.678521410791</v>
      </c>
      <c r="AB23" s="16" t="n">
        <f aca="false">-AB21*$C$9</f>
        <v>-275.265662267222</v>
      </c>
      <c r="AC23" s="16" t="n">
        <f aca="false">-AC21*$C$9</f>
        <v>-286.276288757911</v>
      </c>
      <c r="AD23" s="16" t="n">
        <f aca="false">-AD21*$C$9</f>
        <v>-297.727340308227</v>
      </c>
      <c r="AE23" s="16" t="n">
        <f aca="false">-AE21*$C$9</f>
        <v>-309.636433920557</v>
      </c>
      <c r="AF23" s="16" t="n">
        <f aca="false">-AF21*$C$9</f>
        <v>-322.021891277379</v>
      </c>
      <c r="AG23" s="16" t="n">
        <f aca="false">-AG21*$C$9</f>
        <v>-334.902766928474</v>
      </c>
      <c r="AH23" s="16" t="n">
        <f aca="false">-AH21*$C$9</f>
        <v>-348.298877605613</v>
      </c>
      <c r="AI23" s="16" t="n">
        <f aca="false">-AI21*$C$9</f>
        <v>-362.230832709838</v>
      </c>
      <c r="AJ23" s="16" t="n">
        <f aca="false">-AJ21*$C$9</f>
        <v>-376.720066018231</v>
      </c>
      <c r="AK23" s="16" t="n">
        <f aca="false">-AK21*$C$9</f>
        <v>-391.78886865896</v>
      </c>
      <c r="AL23" s="16" t="n">
        <f aca="false">-AL21*$C$9</f>
        <v>-407.460423405319</v>
      </c>
      <c r="AM23" s="16" t="n">
        <f aca="false">-AM21*$C$9</f>
        <v>-423.758840341531</v>
      </c>
      <c r="AN23" s="16" t="n">
        <f aca="false">-AN21*$C$9</f>
        <v>-440.709193955193</v>
      </c>
      <c r="AO23" s="16" t="n">
        <f aca="false">-AO21*$C$9</f>
        <v>-458.3375617134</v>
      </c>
      <c r="AP23" s="16" t="n">
        <f aca="false">-AP21*$C$9</f>
        <v>-476.671064181936</v>
      </c>
      <c r="AQ23" s="16" t="n">
        <f aca="false">-AQ21*$C$9</f>
        <v>-495.737906749214</v>
      </c>
      <c r="AR23" s="16" t="n">
        <f aca="false">-AR21*$C$9</f>
        <v>-515.567423019182</v>
      </c>
      <c r="AS23" s="16" t="n">
        <f aca="false">-AS21*$C$9</f>
        <v>-536.19011993995</v>
      </c>
      <c r="AT23" s="16" t="n">
        <f aca="false">-AT21*$C$9</f>
        <v>-557.637724737548</v>
      </c>
      <c r="AU23" s="16" t="n">
        <f aca="false">-AU21*$C$9</f>
        <v>-579.94323372705</v>
      </c>
      <c r="AV23" s="16" t="n">
        <f aca="false">-AV21*$C$9</f>
        <v>-603.140963076132</v>
      </c>
    </row>
    <row r="24" customFormat="false" ht="15" hidden="false" customHeight="false" outlineLevel="0" collapsed="false">
      <c r="B24" s="7" t="s">
        <v>141</v>
      </c>
      <c r="D24" s="16" t="n">
        <f aca="false">D22+D23</f>
        <v>254.880756</v>
      </c>
      <c r="E24" s="16" t="n">
        <f aca="false">E22+E23</f>
        <v>265.07598624</v>
      </c>
      <c r="F24" s="16" t="n">
        <f aca="false">F22+F23</f>
        <v>275.6790256896</v>
      </c>
      <c r="G24" s="16" t="n">
        <f aca="false">G22+G23</f>
        <v>286.706186717184</v>
      </c>
      <c r="H24" s="16" t="n">
        <f aca="false">H22+H23</f>
        <v>298.174434185871</v>
      </c>
      <c r="I24" s="16" t="n">
        <f aca="false">I22+I23</f>
        <v>310.101411553306</v>
      </c>
      <c r="J24" s="16" t="n">
        <f aca="false">J22+J23</f>
        <v>322.505468015439</v>
      </c>
      <c r="K24" s="16" t="n">
        <f aca="false">K22+K23</f>
        <v>335.405686736056</v>
      </c>
      <c r="L24" s="16" t="n">
        <f aca="false">L22+L23</f>
        <v>348.821914205498</v>
      </c>
      <c r="M24" s="16" t="n">
        <f aca="false">M22+M23</f>
        <v>362.774790773718</v>
      </c>
      <c r="N24" s="16" t="n">
        <f aca="false">N22+N23</f>
        <v>377.285782404667</v>
      </c>
      <c r="O24" s="16" t="n">
        <f aca="false">O22+O23</f>
        <v>392.377213700854</v>
      </c>
      <c r="P24" s="16" t="n">
        <f aca="false">P22+P23</f>
        <v>408.072302248888</v>
      </c>
      <c r="Q24" s="16" t="n">
        <f aca="false">Q22+Q23</f>
        <v>424.395194338843</v>
      </c>
      <c r="R24" s="16" t="n">
        <f aca="false">R22+R23</f>
        <v>441.371002112397</v>
      </c>
      <c r="S24" s="16" t="n">
        <f aca="false">S22+S23</f>
        <v>459.025842196893</v>
      </c>
      <c r="T24" s="16" t="n">
        <f aca="false">T22+T23</f>
        <v>477.386875884769</v>
      </c>
      <c r="U24" s="16" t="n">
        <f aca="false">U22+U23</f>
        <v>496.48235092016</v>
      </c>
      <c r="V24" s="16" t="n">
        <f aca="false">V22+V23</f>
        <v>516.341644956966</v>
      </c>
      <c r="W24" s="16" t="n">
        <f aca="false">W22+W23</f>
        <v>536.995310755245</v>
      </c>
      <c r="X24" s="16" t="n">
        <f aca="false">X22+X23</f>
        <v>558.475123185454</v>
      </c>
      <c r="Y24" s="16" t="n">
        <f aca="false">Y22+Y23</f>
        <v>580.814128112873</v>
      </c>
      <c r="Z24" s="16" t="n">
        <f aca="false">Z22+Z23</f>
        <v>604.046693237387</v>
      </c>
      <c r="AA24" s="16" t="n">
        <f aca="false">AA22+AA23</f>
        <v>628.208560966883</v>
      </c>
      <c r="AB24" s="16" t="n">
        <f aca="false">AB22+AB23</f>
        <v>653.336903405558</v>
      </c>
      <c r="AC24" s="16" t="n">
        <f aca="false">AC22+AC23</f>
        <v>679.470379541781</v>
      </c>
      <c r="AD24" s="16" t="n">
        <f aca="false">AD22+AD23</f>
        <v>706.649194723452</v>
      </c>
      <c r="AE24" s="16" t="n">
        <f aca="false">AE22+AE23</f>
        <v>734.91516251239</v>
      </c>
      <c r="AF24" s="16" t="n">
        <f aca="false">AF22+AF23</f>
        <v>764.311769012886</v>
      </c>
      <c r="AG24" s="16" t="n">
        <f aca="false">AG22+AG23</f>
        <v>794.884239773401</v>
      </c>
      <c r="AH24" s="16" t="n">
        <f aca="false">AH22+AH23</f>
        <v>826.679609364337</v>
      </c>
      <c r="AI24" s="16" t="n">
        <f aca="false">AI22+AI23</f>
        <v>859.746793738911</v>
      </c>
      <c r="AJ24" s="16" t="n">
        <f aca="false">AJ22+AJ23</f>
        <v>894.136665488467</v>
      </c>
      <c r="AK24" s="16" t="n">
        <f aca="false">AK22+AK23</f>
        <v>929.902132108006</v>
      </c>
      <c r="AL24" s="16" t="n">
        <f aca="false">AL22+AL23</f>
        <v>967.098217392326</v>
      </c>
      <c r="AM24" s="16" t="n">
        <f aca="false">AM22+AM23</f>
        <v>1005.78214608802</v>
      </c>
      <c r="AN24" s="16" t="n">
        <f aca="false">AN22+AN23</f>
        <v>1046.01343193154</v>
      </c>
      <c r="AO24" s="16" t="n">
        <f aca="false">AO22+AO23</f>
        <v>1087.8539692088</v>
      </c>
      <c r="AP24" s="16" t="n">
        <f aca="false">AP22+AP23</f>
        <v>1131.36812797715</v>
      </c>
      <c r="AQ24" s="16" t="n">
        <f aca="false">AQ22+AQ23</f>
        <v>1176.62285309624</v>
      </c>
      <c r="AR24" s="16" t="n">
        <f aca="false">AR22+AR23</f>
        <v>1223.68776722009</v>
      </c>
      <c r="AS24" s="16" t="n">
        <f aca="false">AS22+AS23</f>
        <v>1272.63527790889</v>
      </c>
      <c r="AT24" s="16" t="n">
        <f aca="false">AT22+AT23</f>
        <v>1323.54068902525</v>
      </c>
      <c r="AU24" s="16" t="n">
        <f aca="false">AU22+AU23</f>
        <v>1376.48231658626</v>
      </c>
      <c r="AV24" s="16" t="n">
        <f aca="false">AV22+AV23</f>
        <v>1431.54160924971</v>
      </c>
    </row>
    <row r="25" customFormat="false" ht="15" hidden="false" customHeight="false" outlineLevel="0" collapsed="false">
      <c r="B25" s="7" t="s">
        <v>142</v>
      </c>
      <c r="D25" s="8" t="n">
        <f aca="false">IF(D$19=2026,Inputs!$C$10,Inputs!$C$11)</f>
        <v>0.348</v>
      </c>
      <c r="E25" s="8" t="n">
        <f aca="false">IF(E$19=2026,Inputs!$C$10,Inputs!$C$11)</f>
        <v>0.258</v>
      </c>
      <c r="F25" s="8" t="n">
        <f aca="false">IF(F$19=2026,Inputs!$C$10,Inputs!$C$11)</f>
        <v>0.258</v>
      </c>
      <c r="G25" s="8" t="n">
        <f aca="false">IF(G$19=2026,Inputs!$C$10,Inputs!$C$11)</f>
        <v>0.258</v>
      </c>
      <c r="H25" s="8" t="n">
        <f aca="false">IF(H$19=2026,Inputs!$C$10,Inputs!$C$11)</f>
        <v>0.258</v>
      </c>
      <c r="I25" s="8" t="n">
        <f aca="false">IF(I$19=2026,Inputs!$C$10,Inputs!$C$11)</f>
        <v>0.258</v>
      </c>
      <c r="J25" s="8" t="n">
        <f aca="false">IF(J$19=2026,Inputs!$C$10,Inputs!$C$11)</f>
        <v>0.258</v>
      </c>
      <c r="K25" s="8" t="n">
        <f aca="false">IF(K$19=2026,Inputs!$C$10,Inputs!$C$11)</f>
        <v>0.258</v>
      </c>
      <c r="L25" s="8" t="n">
        <f aca="false">IF(L$19=2026,Inputs!$C$10,Inputs!$C$11)</f>
        <v>0.258</v>
      </c>
      <c r="M25" s="8" t="n">
        <f aca="false">IF(M$19=2026,Inputs!$C$10,Inputs!$C$11)</f>
        <v>0.258</v>
      </c>
      <c r="N25" s="8" t="n">
        <f aca="false">IF(N$19=2026,Inputs!$C$10,Inputs!$C$11)</f>
        <v>0.258</v>
      </c>
      <c r="O25" s="8" t="n">
        <f aca="false">IF(O$19=2026,Inputs!$C$10,Inputs!$C$11)</f>
        <v>0.258</v>
      </c>
      <c r="P25" s="8" t="n">
        <f aca="false">IF(P$19=2026,Inputs!$C$10,Inputs!$C$11)</f>
        <v>0.258</v>
      </c>
      <c r="Q25" s="8" t="n">
        <f aca="false">IF(Q$19=2026,Inputs!$C$10,Inputs!$C$11)</f>
        <v>0.258</v>
      </c>
      <c r="R25" s="8" t="n">
        <f aca="false">IF(R$19=2026,Inputs!$C$10,Inputs!$C$11)</f>
        <v>0.258</v>
      </c>
      <c r="S25" s="8" t="n">
        <f aca="false">IF(S$19=2026,Inputs!$C$10,Inputs!$C$11)</f>
        <v>0.258</v>
      </c>
      <c r="T25" s="8" t="n">
        <f aca="false">IF(T$19=2026,Inputs!$C$10,Inputs!$C$11)</f>
        <v>0.258</v>
      </c>
      <c r="U25" s="8" t="n">
        <f aca="false">IF(U$19=2026,Inputs!$C$10,Inputs!$C$11)</f>
        <v>0.258</v>
      </c>
      <c r="V25" s="8" t="n">
        <f aca="false">IF(V$19=2026,Inputs!$C$10,Inputs!$C$11)</f>
        <v>0.258</v>
      </c>
      <c r="W25" s="8" t="n">
        <f aca="false">IF(W$19=2026,Inputs!$C$10,Inputs!$C$11)</f>
        <v>0.258</v>
      </c>
      <c r="X25" s="8" t="n">
        <f aca="false">IF(X$19=2026,Inputs!$C$10,Inputs!$C$11)</f>
        <v>0.258</v>
      </c>
      <c r="Y25" s="8" t="n">
        <f aca="false">IF(Y$19=2026,Inputs!$C$10,Inputs!$C$11)</f>
        <v>0.258</v>
      </c>
      <c r="Z25" s="8" t="n">
        <f aca="false">IF(Z$19=2026,Inputs!$C$10,Inputs!$C$11)</f>
        <v>0.258</v>
      </c>
      <c r="AA25" s="8" t="n">
        <f aca="false">IF(AA$19=2026,Inputs!$C$10,Inputs!$C$11)</f>
        <v>0.258</v>
      </c>
      <c r="AB25" s="8" t="n">
        <f aca="false">IF(AB$19=2026,Inputs!$C$10,Inputs!$C$11)</f>
        <v>0.258</v>
      </c>
      <c r="AC25" s="8" t="n">
        <f aca="false">IF(AC$19=2026,Inputs!$C$10,Inputs!$C$11)</f>
        <v>0.258</v>
      </c>
      <c r="AD25" s="8" t="n">
        <f aca="false">IF(AD$19=2026,Inputs!$C$10,Inputs!$C$11)</f>
        <v>0.258</v>
      </c>
      <c r="AE25" s="8" t="n">
        <f aca="false">IF(AE$19=2026,Inputs!$C$10,Inputs!$C$11)</f>
        <v>0.258</v>
      </c>
      <c r="AF25" s="8" t="n">
        <f aca="false">IF(AF$19=2026,Inputs!$C$10,Inputs!$C$11)</f>
        <v>0.258</v>
      </c>
      <c r="AG25" s="8" t="n">
        <f aca="false">IF(AG$19=2026,Inputs!$C$10,Inputs!$C$11)</f>
        <v>0.258</v>
      </c>
      <c r="AH25" s="8" t="n">
        <f aca="false">IF(AH$19=2026,Inputs!$C$10,Inputs!$C$11)</f>
        <v>0.258</v>
      </c>
      <c r="AI25" s="8" t="n">
        <f aca="false">IF(AI$19=2026,Inputs!$C$10,Inputs!$C$11)</f>
        <v>0.258</v>
      </c>
      <c r="AJ25" s="8" t="n">
        <f aca="false">IF(AJ$19=2026,Inputs!$C$10,Inputs!$C$11)</f>
        <v>0.258</v>
      </c>
      <c r="AK25" s="8" t="n">
        <f aca="false">IF(AK$19=2026,Inputs!$C$10,Inputs!$C$11)</f>
        <v>0.258</v>
      </c>
      <c r="AL25" s="8" t="n">
        <f aca="false">IF(AL$19=2026,Inputs!$C$10,Inputs!$C$11)</f>
        <v>0.258</v>
      </c>
      <c r="AM25" s="8" t="n">
        <f aca="false">IF(AM$19=2026,Inputs!$C$10,Inputs!$C$11)</f>
        <v>0.258</v>
      </c>
      <c r="AN25" s="8" t="n">
        <f aca="false">IF(AN$19=2026,Inputs!$C$10,Inputs!$C$11)</f>
        <v>0.258</v>
      </c>
      <c r="AO25" s="8" t="n">
        <f aca="false">IF(AO$19=2026,Inputs!$C$10,Inputs!$C$11)</f>
        <v>0.258</v>
      </c>
      <c r="AP25" s="8" t="n">
        <f aca="false">IF(AP$19=2026,Inputs!$C$10,Inputs!$C$11)</f>
        <v>0.258</v>
      </c>
      <c r="AQ25" s="8" t="n">
        <f aca="false">IF(AQ$19=2026,Inputs!$C$10,Inputs!$C$11)</f>
        <v>0.258</v>
      </c>
      <c r="AR25" s="8" t="n">
        <f aca="false">IF(AR$19=2026,Inputs!$C$10,Inputs!$C$11)</f>
        <v>0.258</v>
      </c>
      <c r="AS25" s="8" t="n">
        <f aca="false">IF(AS$19=2026,Inputs!$C$10,Inputs!$C$11)</f>
        <v>0.258</v>
      </c>
      <c r="AT25" s="8" t="n">
        <f aca="false">IF(AT$19=2026,Inputs!$C$10,Inputs!$C$11)</f>
        <v>0.258</v>
      </c>
      <c r="AU25" s="8" t="n">
        <f aca="false">IF(AU$19=2026,Inputs!$C$10,Inputs!$C$11)</f>
        <v>0.258</v>
      </c>
      <c r="AV25" s="8" t="n">
        <f aca="false">IF(AV$19=2026,Inputs!$C$10,Inputs!$C$11)</f>
        <v>0.258</v>
      </c>
    </row>
    <row r="26" customFormat="false" ht="15" hidden="false" customHeight="false" outlineLevel="0" collapsed="false">
      <c r="B26" s="7" t="s">
        <v>143</v>
      </c>
      <c r="D26" s="16" t="n">
        <f aca="false">-MAX(0,D24)*D25</f>
        <v>-88.698503088</v>
      </c>
      <c r="E26" s="16" t="n">
        <f aca="false">-MAX(0,E24)*E25</f>
        <v>-68.38960444992</v>
      </c>
      <c r="F26" s="16" t="n">
        <f aca="false">-MAX(0,F24)*F25</f>
        <v>-71.1251886279168</v>
      </c>
      <c r="G26" s="16" t="n">
        <f aca="false">-MAX(0,G24)*G25</f>
        <v>-73.9701961730335</v>
      </c>
      <c r="H26" s="16" t="n">
        <f aca="false">-MAX(0,H24)*H25</f>
        <v>-76.9290040199548</v>
      </c>
      <c r="I26" s="16" t="n">
        <f aca="false">-MAX(0,I24)*I25</f>
        <v>-80.006164180753</v>
      </c>
      <c r="J26" s="16" t="n">
        <f aca="false">-MAX(0,J24)*J25</f>
        <v>-83.2064107479831</v>
      </c>
      <c r="K26" s="16" t="n">
        <f aca="false">-MAX(0,K24)*K25</f>
        <v>-86.5346671779025</v>
      </c>
      <c r="L26" s="16" t="n">
        <f aca="false">-MAX(0,L24)*L25</f>
        <v>-89.9960538650186</v>
      </c>
      <c r="M26" s="16" t="n">
        <f aca="false">-MAX(0,M24)*M25</f>
        <v>-93.5958960196193</v>
      </c>
      <c r="N26" s="16" t="n">
        <f aca="false">-MAX(0,N24)*N25</f>
        <v>-97.3397318604041</v>
      </c>
      <c r="O26" s="16" t="n">
        <f aca="false">-MAX(0,O24)*O25</f>
        <v>-101.23332113482</v>
      </c>
      <c r="P26" s="16" t="n">
        <f aca="false">-MAX(0,P24)*P25</f>
        <v>-105.282653980213</v>
      </c>
      <c r="Q26" s="16" t="n">
        <f aca="false">-MAX(0,Q24)*Q25</f>
        <v>-109.493960139422</v>
      </c>
      <c r="R26" s="16" t="n">
        <f aca="false">-MAX(0,R24)*R25</f>
        <v>-113.873718544998</v>
      </c>
      <c r="S26" s="16" t="n">
        <f aca="false">-MAX(0,S24)*S25</f>
        <v>-118.428667286798</v>
      </c>
      <c r="T26" s="16" t="n">
        <f aca="false">-MAX(0,T24)*T25</f>
        <v>-123.16581397827</v>
      </c>
      <c r="U26" s="16" t="n">
        <f aca="false">-MAX(0,U24)*U25</f>
        <v>-128.092446537401</v>
      </c>
      <c r="V26" s="16" t="n">
        <f aca="false">-MAX(0,V24)*V25</f>
        <v>-133.216144398897</v>
      </c>
      <c r="W26" s="16" t="n">
        <f aca="false">-MAX(0,W24)*W25</f>
        <v>-138.544790174853</v>
      </c>
      <c r="X26" s="16" t="n">
        <f aca="false">-MAX(0,X24)*X25</f>
        <v>-144.086581781847</v>
      </c>
      <c r="Y26" s="16" t="n">
        <f aca="false">-MAX(0,Y24)*Y25</f>
        <v>-149.850045053121</v>
      </c>
      <c r="Z26" s="16" t="n">
        <f aca="false">-MAX(0,Z24)*Z25</f>
        <v>-155.844046855246</v>
      </c>
      <c r="AA26" s="16" t="n">
        <f aca="false">-MAX(0,AA24)*AA25</f>
        <v>-162.077808729456</v>
      </c>
      <c r="AB26" s="16" t="n">
        <f aca="false">-MAX(0,AB24)*AB25</f>
        <v>-168.560921078634</v>
      </c>
      <c r="AC26" s="16" t="n">
        <f aca="false">-MAX(0,AC24)*AC25</f>
        <v>-175.303357921779</v>
      </c>
      <c r="AD26" s="16" t="n">
        <f aca="false">-MAX(0,AD24)*AD25</f>
        <v>-182.315492238651</v>
      </c>
      <c r="AE26" s="16" t="n">
        <f aca="false">-MAX(0,AE24)*AE25</f>
        <v>-189.608111928197</v>
      </c>
      <c r="AF26" s="16" t="n">
        <f aca="false">-MAX(0,AF24)*AF25</f>
        <v>-197.192436405324</v>
      </c>
      <c r="AG26" s="16" t="n">
        <f aca="false">-MAX(0,AG24)*AG25</f>
        <v>-205.080133861538</v>
      </c>
      <c r="AH26" s="16" t="n">
        <f aca="false">-MAX(0,AH24)*AH25</f>
        <v>-213.283339215999</v>
      </c>
      <c r="AI26" s="16" t="n">
        <f aca="false">-MAX(0,AI24)*AI25</f>
        <v>-221.814672784639</v>
      </c>
      <c r="AJ26" s="16" t="n">
        <f aca="false">-MAX(0,AJ24)*AJ25</f>
        <v>-230.687259696025</v>
      </c>
      <c r="AK26" s="16" t="n">
        <f aca="false">-MAX(0,AK24)*AK25</f>
        <v>-239.914750083866</v>
      </c>
      <c r="AL26" s="16" t="n">
        <f aca="false">-MAX(0,AL24)*AL25</f>
        <v>-249.51134008722</v>
      </c>
      <c r="AM26" s="16" t="n">
        <f aca="false">-MAX(0,AM24)*AM25</f>
        <v>-259.491793690709</v>
      </c>
      <c r="AN26" s="16" t="n">
        <f aca="false">-MAX(0,AN24)*AN25</f>
        <v>-269.871465438337</v>
      </c>
      <c r="AO26" s="16" t="n">
        <f aca="false">-MAX(0,AO24)*AO25</f>
        <v>-280.666324055871</v>
      </c>
      <c r="AP26" s="16" t="n">
        <f aca="false">-MAX(0,AP24)*AP25</f>
        <v>-291.892977018106</v>
      </c>
      <c r="AQ26" s="16" t="n">
        <f aca="false">-MAX(0,AQ24)*AQ25</f>
        <v>-303.56869609883</v>
      </c>
      <c r="AR26" s="16" t="n">
        <f aca="false">-MAX(0,AR24)*AR25</f>
        <v>-315.711443942783</v>
      </c>
      <c r="AS26" s="16" t="n">
        <f aca="false">-MAX(0,AS24)*AS25</f>
        <v>-328.339901700494</v>
      </c>
      <c r="AT26" s="16" t="n">
        <f aca="false">-MAX(0,AT24)*AT25</f>
        <v>-341.473497768514</v>
      </c>
      <c r="AU26" s="16" t="n">
        <f aca="false">-MAX(0,AU24)*AU25</f>
        <v>-355.132437679255</v>
      </c>
      <c r="AV26" s="16" t="n">
        <f aca="false">-MAX(0,AV24)*AV25</f>
        <v>-369.337735186425</v>
      </c>
    </row>
    <row r="27" customFormat="false" ht="15" hidden="false" customHeight="false" outlineLevel="0" collapsed="false">
      <c r="B27" s="7" t="s">
        <v>144</v>
      </c>
      <c r="D27" s="16" t="n">
        <f aca="false">-D21*$C$10</f>
        <v>-33.712848</v>
      </c>
      <c r="E27" s="16" t="n">
        <f aca="false">-E21*$C$10</f>
        <v>-35.06136192</v>
      </c>
      <c r="F27" s="16" t="n">
        <f aca="false">-F21*$C$10</f>
        <v>-36.4638163968</v>
      </c>
      <c r="G27" s="16" t="n">
        <f aca="false">-G21*$C$10</f>
        <v>-37.922369052672</v>
      </c>
      <c r="H27" s="16" t="n">
        <f aca="false">-H21*$C$10</f>
        <v>-39.4392638147789</v>
      </c>
      <c r="I27" s="16" t="n">
        <f aca="false">-I21*$C$10</f>
        <v>-41.01683436737</v>
      </c>
      <c r="J27" s="16" t="n">
        <f aca="false">-J21*$C$10</f>
        <v>-42.6575077420648</v>
      </c>
      <c r="K27" s="16" t="n">
        <f aca="false">-K21*$C$10</f>
        <v>-44.3638080517474</v>
      </c>
      <c r="L27" s="16" t="n">
        <f aca="false">-L21*$C$10</f>
        <v>-46.1383603738173</v>
      </c>
      <c r="M27" s="16" t="n">
        <f aca="false">-M21*$C$10</f>
        <v>-47.98389478877</v>
      </c>
      <c r="N27" s="16" t="n">
        <f aca="false">-N21*$C$10</f>
        <v>-49.9032505803208</v>
      </c>
      <c r="O27" s="16" t="n">
        <f aca="false">-O21*$C$10</f>
        <v>-51.8993806035337</v>
      </c>
      <c r="P27" s="16" t="n">
        <f aca="false">-P21*$C$10</f>
        <v>-53.975355827675</v>
      </c>
      <c r="Q27" s="16" t="n">
        <f aca="false">-Q21*$C$10</f>
        <v>-56.134370060782</v>
      </c>
      <c r="R27" s="16" t="n">
        <f aca="false">-R21*$C$10</f>
        <v>-58.3797448632133</v>
      </c>
      <c r="S27" s="16" t="n">
        <f aca="false">-S21*$C$10</f>
        <v>-60.7149346577418</v>
      </c>
      <c r="T27" s="16" t="n">
        <f aca="false">-T21*$C$10</f>
        <v>-63.1435320440515</v>
      </c>
      <c r="U27" s="16" t="n">
        <f aca="false">-U21*$C$10</f>
        <v>-65.6692733258136</v>
      </c>
      <c r="V27" s="16" t="n">
        <f aca="false">-V21*$C$10</f>
        <v>-68.2960442588461</v>
      </c>
      <c r="W27" s="16" t="n">
        <f aca="false">-W21*$C$10</f>
        <v>-71.0278860292</v>
      </c>
      <c r="X27" s="16" t="n">
        <f aca="false">-X21*$C$10</f>
        <v>-73.869001470368</v>
      </c>
      <c r="Y27" s="16" t="n">
        <f aca="false">-Y21*$C$10</f>
        <v>-76.8237615291827</v>
      </c>
      <c r="Z27" s="16" t="n">
        <f aca="false">-Z21*$C$10</f>
        <v>-79.89671199035</v>
      </c>
      <c r="AA27" s="16" t="n">
        <f aca="false">-AA21*$C$10</f>
        <v>-83.092580469964</v>
      </c>
      <c r="AB27" s="16" t="n">
        <f aca="false">-AB21*$C$10</f>
        <v>-86.4162836887626</v>
      </c>
      <c r="AC27" s="16" t="n">
        <f aca="false">-AC21*$C$10</f>
        <v>-89.8729350363131</v>
      </c>
      <c r="AD27" s="16" t="n">
        <f aca="false">-AD21*$C$10</f>
        <v>-93.4678524377656</v>
      </c>
      <c r="AE27" s="16" t="n">
        <f aca="false">-AE21*$C$10</f>
        <v>-97.2065665352762</v>
      </c>
      <c r="AF27" s="16" t="n">
        <f aca="false">-AF21*$C$10</f>
        <v>-101.094829196687</v>
      </c>
      <c r="AG27" s="16" t="n">
        <f aca="false">-AG21*$C$10</f>
        <v>-105.138622364555</v>
      </c>
      <c r="AH27" s="16" t="n">
        <f aca="false">-AH21*$C$10</f>
        <v>-109.344167259137</v>
      </c>
      <c r="AI27" s="16" t="n">
        <f aca="false">-AI21*$C$10</f>
        <v>-113.717933949502</v>
      </c>
      <c r="AJ27" s="16" t="n">
        <f aca="false">-AJ21*$C$10</f>
        <v>-118.266651307483</v>
      </c>
      <c r="AK27" s="16" t="n">
        <f aca="false">-AK21*$C$10</f>
        <v>-122.997317359782</v>
      </c>
      <c r="AL27" s="16" t="n">
        <f aca="false">-AL21*$C$10</f>
        <v>-127.917210054173</v>
      </c>
      <c r="AM27" s="16" t="n">
        <f aca="false">-AM21*$C$10</f>
        <v>-133.03389845634</v>
      </c>
      <c r="AN27" s="16" t="n">
        <f aca="false">-AN21*$C$10</f>
        <v>-138.355254394594</v>
      </c>
      <c r="AO27" s="16" t="n">
        <f aca="false">-AO21*$C$10</f>
        <v>-143.889464570377</v>
      </c>
      <c r="AP27" s="16" t="n">
        <f aca="false">-AP21*$C$10</f>
        <v>-149.645043153192</v>
      </c>
      <c r="AQ27" s="16" t="n">
        <f aca="false">-AQ21*$C$10</f>
        <v>-155.63084487932</v>
      </c>
      <c r="AR27" s="16" t="n">
        <f aca="false">-AR21*$C$10</f>
        <v>-161.856078674493</v>
      </c>
      <c r="AS27" s="16" t="n">
        <f aca="false">-AS21*$C$10</f>
        <v>-168.330321821473</v>
      </c>
      <c r="AT27" s="16" t="n">
        <f aca="false">-AT21*$C$10</f>
        <v>-175.063534694332</v>
      </c>
      <c r="AU27" s="16" t="n">
        <f aca="false">-AU21*$C$10</f>
        <v>-182.066076082105</v>
      </c>
      <c r="AV27" s="16" t="n">
        <f aca="false">-AV21*$C$10</f>
        <v>-189.348719125389</v>
      </c>
    </row>
    <row r="28" customFormat="false" ht="15" hidden="false" customHeight="false" outlineLevel="0" collapsed="false">
      <c r="B28" s="7" t="s">
        <v>145</v>
      </c>
      <c r="D28" s="16" t="n">
        <f aca="false">-D21*$C$11</f>
        <v>-3.124251</v>
      </c>
      <c r="E28" s="16" t="n">
        <f aca="false">-E21*$C$11</f>
        <v>-3.24922104</v>
      </c>
      <c r="F28" s="16" t="n">
        <f aca="false">-F21*$C$11</f>
        <v>-3.3791898816</v>
      </c>
      <c r="G28" s="16" t="n">
        <f aca="false">-G21*$C$11</f>
        <v>-3.514357476864</v>
      </c>
      <c r="H28" s="16" t="n">
        <f aca="false">-H21*$C$11</f>
        <v>-3.65493177593856</v>
      </c>
      <c r="I28" s="16" t="n">
        <f aca="false">-I21*$C$11</f>
        <v>-3.8011290469761</v>
      </c>
      <c r="J28" s="16" t="n">
        <f aca="false">-J21*$C$11</f>
        <v>-3.95317420885515</v>
      </c>
      <c r="K28" s="16" t="n">
        <f aca="false">-K21*$C$11</f>
        <v>-4.11130117720935</v>
      </c>
      <c r="L28" s="16" t="n">
        <f aca="false">-L21*$C$11</f>
        <v>-4.27575322429773</v>
      </c>
      <c r="M28" s="16" t="n">
        <f aca="false">-M21*$C$11</f>
        <v>-4.44678335326964</v>
      </c>
      <c r="N28" s="16" t="n">
        <f aca="false">-N21*$C$11</f>
        <v>-4.62465468740042</v>
      </c>
      <c r="O28" s="16" t="n">
        <f aca="false">-O21*$C$11</f>
        <v>-4.80964087489644</v>
      </c>
      <c r="P28" s="16" t="n">
        <f aca="false">-P21*$C$11</f>
        <v>-5.0020265098923</v>
      </c>
      <c r="Q28" s="16" t="n">
        <f aca="false">-Q21*$C$11</f>
        <v>-5.20210757028799</v>
      </c>
      <c r="R28" s="16" t="n">
        <f aca="false">-R21*$C$11</f>
        <v>-5.41019187309951</v>
      </c>
      <c r="S28" s="16" t="n">
        <f aca="false">-S21*$C$11</f>
        <v>-5.62659954802349</v>
      </c>
      <c r="T28" s="16" t="n">
        <f aca="false">-T21*$C$11</f>
        <v>-5.85166352994443</v>
      </c>
      <c r="U28" s="16" t="n">
        <f aca="false">-U21*$C$11</f>
        <v>-6.08573007114221</v>
      </c>
      <c r="V28" s="16" t="n">
        <f aca="false">-V21*$C$11</f>
        <v>-6.3291592739879</v>
      </c>
      <c r="W28" s="16" t="n">
        <f aca="false">-W21*$C$11</f>
        <v>-6.58232564494741</v>
      </c>
      <c r="X28" s="16" t="n">
        <f aca="false">-X21*$C$11</f>
        <v>-6.84561867074531</v>
      </c>
      <c r="Y28" s="16" t="n">
        <f aca="false">-Y21*$C$11</f>
        <v>-7.11944341757512</v>
      </c>
      <c r="Z28" s="16" t="n">
        <f aca="false">-Z21*$C$11</f>
        <v>-7.40422115427813</v>
      </c>
      <c r="AA28" s="16" t="n">
        <f aca="false">-AA21*$C$11</f>
        <v>-7.70039000044925</v>
      </c>
      <c r="AB28" s="16" t="n">
        <f aca="false">-AB21*$C$11</f>
        <v>-8.00840560046722</v>
      </c>
      <c r="AC28" s="16" t="n">
        <f aca="false">-AC21*$C$11</f>
        <v>-8.32874182448591</v>
      </c>
      <c r="AD28" s="16" t="n">
        <f aca="false">-AD21*$C$11</f>
        <v>-8.66189149746535</v>
      </c>
      <c r="AE28" s="16" t="n">
        <f aca="false">-AE21*$C$11</f>
        <v>-9.00836715736396</v>
      </c>
      <c r="AF28" s="16" t="n">
        <f aca="false">-AF21*$C$11</f>
        <v>-9.36870184365852</v>
      </c>
      <c r="AG28" s="16" t="n">
        <f aca="false">-AG21*$C$11</f>
        <v>-9.74344991740486</v>
      </c>
      <c r="AH28" s="16" t="n">
        <f aca="false">-AH21*$C$11</f>
        <v>-10.1331879141011</v>
      </c>
      <c r="AI28" s="16" t="n">
        <f aca="false">-AI21*$C$11</f>
        <v>-10.5385154306651</v>
      </c>
      <c r="AJ28" s="16" t="n">
        <f aca="false">-AJ21*$C$11</f>
        <v>-10.9600560478917</v>
      </c>
      <c r="AK28" s="16" t="n">
        <f aca="false">-AK21*$C$11</f>
        <v>-11.3984582898074</v>
      </c>
      <c r="AL28" s="16" t="n">
        <f aca="false">-AL21*$C$11</f>
        <v>-11.8543966213997</v>
      </c>
      <c r="AM28" s="16" t="n">
        <f aca="false">-AM21*$C$11</f>
        <v>-12.3285724862557</v>
      </c>
      <c r="AN28" s="16" t="n">
        <f aca="false">-AN21*$C$11</f>
        <v>-12.8217153857059</v>
      </c>
      <c r="AO28" s="16" t="n">
        <f aca="false">-AO21*$C$11</f>
        <v>-13.3345840011341</v>
      </c>
      <c r="AP28" s="16" t="n">
        <f aca="false">-AP21*$C$11</f>
        <v>-13.8679673611795</v>
      </c>
      <c r="AQ28" s="16" t="n">
        <f aca="false">-AQ21*$C$11</f>
        <v>-14.4226860556267</v>
      </c>
      <c r="AR28" s="16" t="n">
        <f aca="false">-AR21*$C$11</f>
        <v>-14.9995934978517</v>
      </c>
      <c r="AS28" s="16" t="n">
        <f aca="false">-AS21*$C$11</f>
        <v>-15.5995772377658</v>
      </c>
      <c r="AT28" s="16" t="n">
        <f aca="false">-AT21*$C$11</f>
        <v>-16.2235603272764</v>
      </c>
      <c r="AU28" s="16" t="n">
        <f aca="false">-AU21*$C$11</f>
        <v>-16.8725027403675</v>
      </c>
      <c r="AV28" s="16" t="n">
        <f aca="false">-AV21*$C$11</f>
        <v>-17.5474028499822</v>
      </c>
    </row>
    <row r="29" customFormat="false" ht="15" hidden="false" customHeight="false" outlineLevel="0" collapsed="false">
      <c r="B29" s="12" t="s">
        <v>146</v>
      </c>
      <c r="D29" s="38" t="n">
        <f aca="false">(D22+D26+D27+D28)*D20</f>
        <v>119.338972010433</v>
      </c>
      <c r="E29" s="38" t="n">
        <f aca="false">(E22+E26+E27+E28)*E20</f>
        <v>270.05832667008</v>
      </c>
      <c r="F29" s="38" t="n">
        <f aca="false">(F22+F26+F27+F28)*F20</f>
        <v>281.630140996436</v>
      </c>
      <c r="G29" s="38" t="n">
        <f aca="false">(G22+G26+G27+G28)*G20</f>
        <v>292.095086126359</v>
      </c>
      <c r="H29" s="38" t="n">
        <f aca="false">(H22+H26+H27+H28)*H20</f>
        <v>303.778889571413</v>
      </c>
      <c r="I29" s="38" t="n">
        <f aca="false">(I22+I26+I27+I28)*I20</f>
        <v>315.930045154269</v>
      </c>
      <c r="J29" s="38" t="n">
        <f aca="false">(J22+J26+J27+J28)*J20</f>
        <v>329.467431198688</v>
      </c>
      <c r="K29" s="38" t="n">
        <f aca="false">(K22+K26+K27+K28)*K20</f>
        <v>341.709936838858</v>
      </c>
      <c r="L29" s="38" t="n">
        <f aca="false">(L22+L26+L27+L28)*L20</f>
        <v>355.378334312412</v>
      </c>
      <c r="M29" s="38" t="n">
        <f aca="false">(M22+M26+M27+M28)*M20</f>
        <v>369.593467684909</v>
      </c>
      <c r="N29" s="38" t="n">
        <f aca="false">(N22+N26+N27+N28)*N20</f>
        <v>385.430294628996</v>
      </c>
      <c r="O29" s="38" t="n">
        <f aca="false">(O22+O26+O27+O28)*O20</f>
        <v>399.752294647997</v>
      </c>
      <c r="P29" s="38" t="n">
        <f aca="false">(P22+P26+P27+P28)*P20</f>
        <v>415.742386433917</v>
      </c>
      <c r="Q29" s="38" t="n">
        <f aca="false">(Q22+Q26+Q27+Q28)*Q20</f>
        <v>432.372081891274</v>
      </c>
      <c r="R29" s="38" t="n">
        <f aca="false">(R22+R26+R27+R28)*R20</f>
        <v>450.898929455053</v>
      </c>
      <c r="S29" s="38" t="n">
        <f aca="false">(S22+S26+S27+S28)*S20</f>
        <v>467.653643773602</v>
      </c>
      <c r="T29" s="38" t="n">
        <f aca="false">(T22+T26+T27+T28)*T20</f>
        <v>486.359789524546</v>
      </c>
      <c r="U29" s="38" t="n">
        <f aca="false">(U22+U26+U27+U28)*U20</f>
        <v>505.814181105528</v>
      </c>
      <c r="V29" s="38" t="n">
        <f aca="false">(V22+V26+V27+V28)*V20</f>
        <v>527.48797231783</v>
      </c>
      <c r="W29" s="38" t="n">
        <f aca="false">(W22+W26+W27+W28)*W20</f>
        <v>547.088618283739</v>
      </c>
      <c r="X29" s="38" t="n">
        <f aca="false">(X22+X26+X27+X28)*X20</f>
        <v>568.972163015088</v>
      </c>
      <c r="Y29" s="38" t="n">
        <f aca="false">(Y22+Y26+Y27+Y28)*Y20</f>
        <v>591.731049535692</v>
      </c>
      <c r="Z29" s="38" t="n">
        <f aca="false">(Z22+Z26+Z27+Z28)*Z20</f>
        <v>617.086319713057</v>
      </c>
      <c r="AA29" s="38" t="n">
        <f aca="false">(AA22+AA26+AA27+AA28)*AA20</f>
        <v>640.016303177804</v>
      </c>
      <c r="AB29" s="38" t="n">
        <f aca="false">(AB22+AB26+AB27+AB28)*AB20</f>
        <v>665.616955304917</v>
      </c>
      <c r="AC29" s="38" t="n">
        <f aca="false">(AC22+AC26+AC27+AC28)*AC20</f>
        <v>0</v>
      </c>
      <c r="AD29" s="38" t="n">
        <f aca="false">(AD22+AD26+AD27+AD28)*AD20</f>
        <v>0</v>
      </c>
      <c r="AE29" s="38" t="n">
        <f aca="false">(AE22+AE26+AE27+AE28)*AE20</f>
        <v>0</v>
      </c>
      <c r="AF29" s="38" t="n">
        <f aca="false">(AF22+AF26+AF27+AF28)*AF20</f>
        <v>0</v>
      </c>
      <c r="AG29" s="38" t="n">
        <f aca="false">(AG22+AG26+AG27+AG28)*AG20</f>
        <v>0</v>
      </c>
      <c r="AH29" s="38" t="n">
        <f aca="false">(AH22+AH26+AH27+AH28)*AH20</f>
        <v>0</v>
      </c>
      <c r="AI29" s="38" t="n">
        <f aca="false">(AI22+AI26+AI27+AI28)*AI20</f>
        <v>0</v>
      </c>
      <c r="AJ29" s="38" t="n">
        <f aca="false">(AJ22+AJ26+AJ27+AJ28)*AJ20</f>
        <v>0</v>
      </c>
      <c r="AK29" s="38" t="n">
        <f aca="false">(AK22+AK26+AK27+AK28)*AK20</f>
        <v>0</v>
      </c>
      <c r="AL29" s="38" t="n">
        <f aca="false">(AL22+AL26+AL27+AL28)*AL20</f>
        <v>0</v>
      </c>
      <c r="AM29" s="38" t="n">
        <f aca="false">(AM22+AM26+AM27+AM28)*AM20</f>
        <v>0</v>
      </c>
      <c r="AN29" s="38" t="n">
        <f aca="false">(AN22+AN26+AN27+AN28)*AN20</f>
        <v>0</v>
      </c>
      <c r="AO29" s="38" t="n">
        <f aca="false">(AO22+AO26+AO27+AO28)*AO20</f>
        <v>0</v>
      </c>
      <c r="AP29" s="38" t="n">
        <f aca="false">(AP22+AP26+AP27+AP28)*AP20</f>
        <v>0</v>
      </c>
      <c r="AQ29" s="38" t="n">
        <f aca="false">(AQ22+AQ26+AQ27+AQ28)*AQ20</f>
        <v>0</v>
      </c>
      <c r="AR29" s="38" t="n">
        <f aca="false">(AR22+AR26+AR27+AR28)*AR20</f>
        <v>0</v>
      </c>
      <c r="AS29" s="38" t="n">
        <f aca="false">(AS22+AS26+AS27+AS28)*AS20</f>
        <v>0</v>
      </c>
      <c r="AT29" s="38" t="n">
        <f aca="false">(AT22+AT26+AT27+AT28)*AT20</f>
        <v>0</v>
      </c>
      <c r="AU29" s="38" t="n">
        <f aca="false">(AU22+AU26+AU27+AU28)*AU20</f>
        <v>0</v>
      </c>
      <c r="AV29" s="38" t="n">
        <f aca="false">(AV22+AV26+AV27+AV28)*AV20</f>
        <v>0</v>
      </c>
    </row>
    <row r="30" customFormat="false" ht="15" hidden="false" customHeight="false" outlineLevel="0" collapsed="false">
      <c r="B30" s="7" t="s">
        <v>147</v>
      </c>
      <c r="D30" s="37" t="n">
        <f aca="false">((MAX(Inputs!$C$5+1,DATE(D$19,1,1))+DATE(D$19,12,31))/2-Inputs!$C$5)/365</f>
        <v>0.253424657534247</v>
      </c>
      <c r="E30" s="37" t="n">
        <f aca="false">((MAX(Inputs!$C$5+1,DATE(E$19,1,1))+DATE(E$19,12,31))/2-Inputs!$C$5)/365</f>
        <v>1.00547945205479</v>
      </c>
      <c r="F30" s="37" t="n">
        <f aca="false">((MAX(Inputs!$C$5+1,DATE(F$19,1,1))+DATE(F$19,12,31))/2-Inputs!$C$5)/365</f>
        <v>2.00684931506849</v>
      </c>
      <c r="G30" s="37" t="n">
        <f aca="false">((MAX(Inputs!$C$5+1,DATE(G$19,1,1))+DATE(G$19,12,31))/2-Inputs!$C$5)/365</f>
        <v>3.00821917808219</v>
      </c>
      <c r="H30" s="37" t="n">
        <f aca="false">((MAX(Inputs!$C$5+1,DATE(H$19,1,1))+DATE(H$19,12,31))/2-Inputs!$C$5)/365</f>
        <v>4.00821917808219</v>
      </c>
      <c r="I30" s="37" t="n">
        <f aca="false">((MAX(Inputs!$C$5+1,DATE(I$19,1,1))+DATE(I$19,12,31))/2-Inputs!$C$5)/365</f>
        <v>5.00821917808219</v>
      </c>
      <c r="J30" s="37" t="n">
        <f aca="false">((MAX(Inputs!$C$5+1,DATE(J$19,1,1))+DATE(J$19,12,31))/2-Inputs!$C$5)/365</f>
        <v>6.00958904109589</v>
      </c>
      <c r="K30" s="37" t="n">
        <f aca="false">((MAX(Inputs!$C$5+1,DATE(K$19,1,1))+DATE(K$19,12,31))/2-Inputs!$C$5)/365</f>
        <v>7.01095890410959</v>
      </c>
      <c r="L30" s="37" t="n">
        <f aca="false">((MAX(Inputs!$C$5+1,DATE(L$19,1,1))+DATE(L$19,12,31))/2-Inputs!$C$5)/365</f>
        <v>8.01095890410959</v>
      </c>
      <c r="M30" s="37" t="n">
        <f aca="false">((MAX(Inputs!$C$5+1,DATE(M$19,1,1))+DATE(M$19,12,31))/2-Inputs!$C$5)/365</f>
        <v>9.01095890410959</v>
      </c>
      <c r="N30" s="37" t="n">
        <f aca="false">((MAX(Inputs!$C$5+1,DATE(N$19,1,1))+DATE(N$19,12,31))/2-Inputs!$C$5)/365</f>
        <v>10.0123287671233</v>
      </c>
      <c r="O30" s="37" t="n">
        <f aca="false">((MAX(Inputs!$C$5+1,DATE(O$19,1,1))+DATE(O$19,12,31))/2-Inputs!$C$5)/365</f>
        <v>11.013698630137</v>
      </c>
      <c r="P30" s="37" t="n">
        <f aca="false">((MAX(Inputs!$C$5+1,DATE(P$19,1,1))+DATE(P$19,12,31))/2-Inputs!$C$5)/365</f>
        <v>12.013698630137</v>
      </c>
      <c r="Q30" s="37" t="n">
        <f aca="false">((MAX(Inputs!$C$5+1,DATE(Q$19,1,1))+DATE(Q$19,12,31))/2-Inputs!$C$5)/365</f>
        <v>13.013698630137</v>
      </c>
      <c r="R30" s="37" t="n">
        <f aca="false">((MAX(Inputs!$C$5+1,DATE(R$19,1,1))+DATE(R$19,12,31))/2-Inputs!$C$5)/365</f>
        <v>14.0150684931507</v>
      </c>
      <c r="S30" s="37" t="n">
        <f aca="false">((MAX(Inputs!$C$5+1,DATE(S$19,1,1))+DATE(S$19,12,31))/2-Inputs!$C$5)/365</f>
        <v>15.0164383561644</v>
      </c>
      <c r="T30" s="37" t="n">
        <f aca="false">((MAX(Inputs!$C$5+1,DATE(T$19,1,1))+DATE(T$19,12,31))/2-Inputs!$C$5)/365</f>
        <v>16.0164383561644</v>
      </c>
      <c r="U30" s="37" t="n">
        <f aca="false">((MAX(Inputs!$C$5+1,DATE(U$19,1,1))+DATE(U$19,12,31))/2-Inputs!$C$5)/365</f>
        <v>17.0164383561644</v>
      </c>
      <c r="V30" s="37" t="n">
        <f aca="false">((MAX(Inputs!$C$5+1,DATE(V$19,1,1))+DATE(V$19,12,31))/2-Inputs!$C$5)/365</f>
        <v>18.0178082191781</v>
      </c>
      <c r="W30" s="37" t="n">
        <f aca="false">((MAX(Inputs!$C$5+1,DATE(W$19,1,1))+DATE(W$19,12,31))/2-Inputs!$C$5)/365</f>
        <v>19.0191780821918</v>
      </c>
      <c r="X30" s="37" t="n">
        <f aca="false">((MAX(Inputs!$C$5+1,DATE(X$19,1,1))+DATE(X$19,12,31))/2-Inputs!$C$5)/365</f>
        <v>20.0191780821918</v>
      </c>
      <c r="Y30" s="37" t="n">
        <f aca="false">((MAX(Inputs!$C$5+1,DATE(Y$19,1,1))+DATE(Y$19,12,31))/2-Inputs!$C$5)/365</f>
        <v>21.0191780821918</v>
      </c>
      <c r="Z30" s="37" t="n">
        <f aca="false">((MAX(Inputs!$C$5+1,DATE(Z$19,1,1))+DATE(Z$19,12,31))/2-Inputs!$C$5)/365</f>
        <v>22.0205479452055</v>
      </c>
      <c r="AA30" s="37" t="n">
        <f aca="false">((MAX(Inputs!$C$5+1,DATE(AA$19,1,1))+DATE(AA$19,12,31))/2-Inputs!$C$5)/365</f>
        <v>23.0219178082192</v>
      </c>
      <c r="AB30" s="37" t="n">
        <f aca="false">((MAX(Inputs!$C$5+1,DATE(AB$19,1,1))+DATE(AB$19,12,31))/2-Inputs!$C$5)/365</f>
        <v>24.0219178082192</v>
      </c>
      <c r="AC30" s="37" t="n">
        <f aca="false">((MAX(Inputs!$C$5+1,DATE(AC$19,1,1))+DATE(AC$19,12,31))/2-Inputs!$C$5)/365</f>
        <v>25.0219178082192</v>
      </c>
      <c r="AD30" s="37" t="n">
        <f aca="false">((MAX(Inputs!$C$5+1,DATE(AD$19,1,1))+DATE(AD$19,12,31))/2-Inputs!$C$5)/365</f>
        <v>26.0232876712329</v>
      </c>
      <c r="AE30" s="37" t="n">
        <f aca="false">((MAX(Inputs!$C$5+1,DATE(AE$19,1,1))+DATE(AE$19,12,31))/2-Inputs!$C$5)/365</f>
        <v>27.0246575342466</v>
      </c>
      <c r="AF30" s="37" t="n">
        <f aca="false">((MAX(Inputs!$C$5+1,DATE(AF$19,1,1))+DATE(AF$19,12,31))/2-Inputs!$C$5)/365</f>
        <v>28.0246575342466</v>
      </c>
      <c r="AG30" s="37" t="n">
        <f aca="false">((MAX(Inputs!$C$5+1,DATE(AG$19,1,1))+DATE(AG$19,12,31))/2-Inputs!$C$5)/365</f>
        <v>29.0246575342466</v>
      </c>
      <c r="AH30" s="37" t="n">
        <f aca="false">((MAX(Inputs!$C$5+1,DATE(AH$19,1,1))+DATE(AH$19,12,31))/2-Inputs!$C$5)/365</f>
        <v>30.0260273972603</v>
      </c>
      <c r="AI30" s="37" t="n">
        <f aca="false">((MAX(Inputs!$C$5+1,DATE(AI$19,1,1))+DATE(AI$19,12,31))/2-Inputs!$C$5)/365</f>
        <v>31.027397260274</v>
      </c>
      <c r="AJ30" s="37" t="n">
        <f aca="false">((MAX(Inputs!$C$5+1,DATE(AJ$19,1,1))+DATE(AJ$19,12,31))/2-Inputs!$C$5)/365</f>
        <v>32.027397260274</v>
      </c>
      <c r="AK30" s="37" t="n">
        <f aca="false">((MAX(Inputs!$C$5+1,DATE(AK$19,1,1))+DATE(AK$19,12,31))/2-Inputs!$C$5)/365</f>
        <v>33.027397260274</v>
      </c>
      <c r="AL30" s="37" t="n">
        <f aca="false">((MAX(Inputs!$C$5+1,DATE(AL$19,1,1))+DATE(AL$19,12,31))/2-Inputs!$C$5)/365</f>
        <v>34.0287671232877</v>
      </c>
      <c r="AM30" s="37" t="n">
        <f aca="false">((MAX(Inputs!$C$5+1,DATE(AM$19,1,1))+DATE(AM$19,12,31))/2-Inputs!$C$5)/365</f>
        <v>35.0301369863014</v>
      </c>
      <c r="AN30" s="37" t="n">
        <f aca="false">((MAX(Inputs!$C$5+1,DATE(AN$19,1,1))+DATE(AN$19,12,31))/2-Inputs!$C$5)/365</f>
        <v>36.0301369863014</v>
      </c>
      <c r="AO30" s="37" t="n">
        <f aca="false">((MAX(Inputs!$C$5+1,DATE(AO$19,1,1))+DATE(AO$19,12,31))/2-Inputs!$C$5)/365</f>
        <v>37.0301369863014</v>
      </c>
      <c r="AP30" s="37" t="n">
        <f aca="false">((MAX(Inputs!$C$5+1,DATE(AP$19,1,1))+DATE(AP$19,12,31))/2-Inputs!$C$5)/365</f>
        <v>38.0315068493151</v>
      </c>
      <c r="AQ30" s="37" t="n">
        <f aca="false">((MAX(Inputs!$C$5+1,DATE(AQ$19,1,1))+DATE(AQ$19,12,31))/2-Inputs!$C$5)/365</f>
        <v>39.0328767123288</v>
      </c>
      <c r="AR30" s="37" t="n">
        <f aca="false">((MAX(Inputs!$C$5+1,DATE(AR$19,1,1))+DATE(AR$19,12,31))/2-Inputs!$C$5)/365</f>
        <v>40.0328767123288</v>
      </c>
      <c r="AS30" s="37" t="n">
        <f aca="false">((MAX(Inputs!$C$5+1,DATE(AS$19,1,1))+DATE(AS$19,12,31))/2-Inputs!$C$5)/365</f>
        <v>41.0328767123288</v>
      </c>
      <c r="AT30" s="37" t="n">
        <f aca="false">((MAX(Inputs!$C$5+1,DATE(AT$19,1,1))+DATE(AT$19,12,31))/2-Inputs!$C$5)/365</f>
        <v>42.0342465753425</v>
      </c>
      <c r="AU30" s="37" t="n">
        <f aca="false">((MAX(Inputs!$C$5+1,DATE(AU$19,1,1))+DATE(AU$19,12,31))/2-Inputs!$C$5)/365</f>
        <v>43.0356164383562</v>
      </c>
      <c r="AV30" s="37" t="n">
        <f aca="false">((MAX(Inputs!$C$5+1,DATE(AV$19,1,1))+DATE(AV$19,12,31))/2-Inputs!$C$5)/365</f>
        <v>44.0356164383562</v>
      </c>
    </row>
    <row r="31" customFormat="false" ht="15" hidden="false" customHeight="false" outlineLevel="0" collapsed="false">
      <c r="B31" s="7" t="s">
        <v>148</v>
      </c>
      <c r="D31" s="39" t="n">
        <f aca="false">1/(1+$C$12)^D30</f>
        <v>0.980685143576944</v>
      </c>
      <c r="E31" s="39" t="n">
        <f aca="false">1/(1+$C$12)^E30</f>
        <v>0.925535541268318</v>
      </c>
      <c r="F31" s="39" t="n">
        <f aca="false">1/(1+$C$12)^F30</f>
        <v>0.856887010022368</v>
      </c>
      <c r="G31" s="39" t="n">
        <f aca="false">1/(1+$C$12)^G30</f>
        <v>0.793330256057891</v>
      </c>
      <c r="H31" s="39" t="n">
        <f aca="false">1/(1+$C$12)^H30</f>
        <v>0.734565051905455</v>
      </c>
      <c r="I31" s="39" t="n">
        <f aca="false">1/(1+$C$12)^I30</f>
        <v>0.680152825838384</v>
      </c>
      <c r="J31" s="39" t="n">
        <f aca="false">1/(1+$C$12)^J30</f>
        <v>0.629704744230839</v>
      </c>
      <c r="K31" s="39" t="n">
        <f aca="false">1/(1+$C$12)^K30</f>
        <v>0.582998481875084</v>
      </c>
      <c r="L31" s="39" t="n">
        <f aca="false">1/(1+$C$12)^L30</f>
        <v>0.539813409143596</v>
      </c>
      <c r="M31" s="39" t="n">
        <f aca="false">1/(1+$C$12)^M30</f>
        <v>0.499827230688515</v>
      </c>
      <c r="N31" s="39" t="n">
        <f aca="false">1/(1+$C$12)^N30</f>
        <v>0.462754202443185</v>
      </c>
      <c r="O31" s="39" t="n">
        <f aca="false">1/(1+$C$12)^O30</f>
        <v>0.428430943195806</v>
      </c>
      <c r="P31" s="39" t="n">
        <f aca="false">1/(1+$C$12)^P30</f>
        <v>0.396695317773895</v>
      </c>
      <c r="Q31" s="39" t="n">
        <f aca="false">1/(1+$C$12)^Q30</f>
        <v>0.367310479420273</v>
      </c>
      <c r="R31" s="39" t="n">
        <f aca="false">1/(1+$C$12)^R30</f>
        <v>0.34006644199639</v>
      </c>
      <c r="S31" s="39" t="n">
        <f aca="false">1/(1+$C$12)^S30</f>
        <v>0.31484314075277</v>
      </c>
      <c r="T31" s="39" t="n">
        <f aca="false">1/(1+$C$12)^T30</f>
        <v>0.291521426622935</v>
      </c>
      <c r="U31" s="39" t="n">
        <f aca="false">1/(1+$C$12)^U30</f>
        <v>0.269927246873088</v>
      </c>
      <c r="V31" s="39" t="n">
        <f aca="false">1/(1+$C$12)^V30</f>
        <v>0.249906287963495</v>
      </c>
      <c r="W31" s="39" t="n">
        <f aca="false">1/(1+$C$12)^W30</f>
        <v>0.231370317325013</v>
      </c>
      <c r="X31" s="39" t="n">
        <f aca="false">1/(1+$C$12)^X30</f>
        <v>0.214231775300938</v>
      </c>
      <c r="Y31" s="39" t="n">
        <f aca="false">1/(1+$C$12)^Y30</f>
        <v>0.198362754908276</v>
      </c>
      <c r="Z31" s="39" t="n">
        <f aca="false">1/(1+$C$12)^Z30</f>
        <v>0.183649855002031</v>
      </c>
      <c r="AA31" s="39" t="n">
        <f aca="false">1/(1+$C$12)^AA30</f>
        <v>0.170028235682966</v>
      </c>
      <c r="AB31" s="39" t="n">
        <f aca="false">1/(1+$C$12)^AB30</f>
        <v>0.157433551558302</v>
      </c>
      <c r="AC31" s="39" t="n">
        <f aca="false">1/(1+$C$12)^AC30</f>
        <v>0.145771806998428</v>
      </c>
      <c r="AD31" s="39" t="n">
        <f aca="false">1/(1+$C$12)^AD30</f>
        <v>0.134959666349786</v>
      </c>
      <c r="AE31" s="39" t="n">
        <f aca="false">1/(1+$C$12)^AE30</f>
        <v>0.124949480398785</v>
      </c>
      <c r="AF31" s="39" t="n">
        <f aca="false">1/(1+$C$12)^AF30</f>
        <v>0.115693963332208</v>
      </c>
      <c r="AG31" s="39" t="n">
        <f aca="false">1/(1+$C$12)^AG30</f>
        <v>0.107124040122415</v>
      </c>
      <c r="AH31" s="39" t="n">
        <f aca="false">1/(1+$C$12)^AH30</f>
        <v>0.0991784694904558</v>
      </c>
      <c r="AI31" s="39" t="n">
        <f aca="false">1/(1+$C$12)^AI30</f>
        <v>0.0918222352259012</v>
      </c>
      <c r="AJ31" s="39" t="n">
        <f aca="false">1/(1+$C$12)^AJ30</f>
        <v>0.0850205881721308</v>
      </c>
      <c r="AK31" s="39" t="n">
        <f aca="false">1/(1+$C$12)^AK30</f>
        <v>0.078722766826047</v>
      </c>
      <c r="AL31" s="39" t="n">
        <f aca="false">1/(1+$C$12)^AL30</f>
        <v>0.0728837665097331</v>
      </c>
      <c r="AM31" s="39" t="n">
        <f aca="false">1/(1+$C$12)^AM30</f>
        <v>0.0674778546895241</v>
      </c>
      <c r="AN31" s="39" t="n">
        <f aca="false">1/(1+$C$12)^AN30</f>
        <v>0.0624794950828926</v>
      </c>
      <c r="AO31" s="39" t="n">
        <f aca="false">1/(1+$C$12)^AO30</f>
        <v>0.0578513843360117</v>
      </c>
      <c r="AP31" s="39" t="n">
        <f aca="false">1/(1+$C$12)^AP30</f>
        <v>0.0535604496413052</v>
      </c>
      <c r="AQ31" s="39" t="n">
        <f aca="false">1/(1+$C$12)^AQ30</f>
        <v>0.049587780806017</v>
      </c>
      <c r="AR31" s="39" t="n">
        <f aca="false">1/(1+$C$12)^AR30</f>
        <v>0.0459146118574232</v>
      </c>
      <c r="AS31" s="39" t="n">
        <f aca="false">1/(1+$C$12)^AS30</f>
        <v>0.042513529497614</v>
      </c>
      <c r="AT31" s="39" t="n">
        <f aca="false">1/(1+$C$12)^AT30</f>
        <v>0.0393602293508761</v>
      </c>
      <c r="AU31" s="39" t="n">
        <f aca="false">1/(1+$C$12)^AU30</f>
        <v>0.036440814791454</v>
      </c>
      <c r="AV31" s="39" t="n">
        <f aca="false">1/(1+$C$12)^AV30</f>
        <v>0.0337414951772722</v>
      </c>
    </row>
    <row r="32" customFormat="false" ht="15" hidden="false" customHeight="false" outlineLevel="0" collapsed="false">
      <c r="B32" s="12" t="s">
        <v>149</v>
      </c>
      <c r="D32" s="40" t="n">
        <f aca="false">D29*D31</f>
        <v>117.033956900376</v>
      </c>
      <c r="E32" s="40" t="n">
        <f aca="false">E29*E31</f>
        <v>249.948579548609</v>
      </c>
      <c r="F32" s="40" t="n">
        <f aca="false">F29*F31</f>
        <v>241.325209450614</v>
      </c>
      <c r="G32" s="40" t="n">
        <f aca="false">G29*G31</f>
        <v>231.727869469876</v>
      </c>
      <c r="H32" s="40" t="n">
        <f aca="false">H29*H31</f>
        <v>223.145355785806</v>
      </c>
      <c r="I32" s="40" t="n">
        <f aca="false">I29*I31</f>
        <v>214.880712978925</v>
      </c>
      <c r="J32" s="40" t="n">
        <f aca="false">J29*J31</f>
        <v>207.467204495361</v>
      </c>
      <c r="K32" s="40" t="n">
        <f aca="false">K29*K31</f>
        <v>199.216374418685</v>
      </c>
      <c r="L32" s="40" t="n">
        <f aca="false">L29*L31</f>
        <v>191.837990180956</v>
      </c>
      <c r="M32" s="40" t="n">
        <f aca="false">M29*M31</f>
        <v>184.732879433513</v>
      </c>
      <c r="N32" s="40" t="n">
        <f aca="false">N29*N31</f>
        <v>178.359488588483</v>
      </c>
      <c r="O32" s="40" t="n">
        <f aca="false">O29*O31</f>
        <v>171.266252640729</v>
      </c>
      <c r="P32" s="40" t="n">
        <f aca="false">P29*P31</f>
        <v>164.92305809848</v>
      </c>
      <c r="Q32" s="40" t="n">
        <f aca="false">Q29*Q31</f>
        <v>158.814796687425</v>
      </c>
      <c r="R32" s="40" t="n">
        <f aca="false">R29*R31</f>
        <v>153.335594639761</v>
      </c>
      <c r="S32" s="40" t="n">
        <f aca="false">S29*S31</f>
        <v>147.237541990158</v>
      </c>
      <c r="T32" s="40" t="n">
        <f aca="false">T29*T31</f>
        <v>141.784299694226</v>
      </c>
      <c r="U32" s="40" t="n">
        <f aca="false">U29*U31</f>
        <v>136.533029335181</v>
      </c>
      <c r="V32" s="40" t="n">
        <f aca="false">V29*V31</f>
        <v>131.82256110734</v>
      </c>
      <c r="W32" s="40" t="n">
        <f aca="false">W29*W31</f>
        <v>126.580067217212</v>
      </c>
      <c r="X32" s="40" t="n">
        <f aca="false">X29*X31</f>
        <v>121.891916579537</v>
      </c>
      <c r="Y32" s="40" t="n">
        <f aca="false">Y29*Y31</f>
        <v>117.377401150665</v>
      </c>
      <c r="Z32" s="40" t="n">
        <f aca="false">Z29*Z31</f>
        <v>113.32781313904</v>
      </c>
      <c r="AA32" s="40" t="n">
        <f aca="false">AA29*AA31</f>
        <v>108.820842837657</v>
      </c>
      <c r="AB32" s="40" t="n">
        <f aca="false">AB29*AB31</f>
        <v>104.790441251077</v>
      </c>
      <c r="AC32" s="40" t="n">
        <f aca="false">AC29*AC31</f>
        <v>0</v>
      </c>
      <c r="AD32" s="40" t="n">
        <f aca="false">AD29*AD31</f>
        <v>0</v>
      </c>
      <c r="AE32" s="40" t="n">
        <f aca="false">AE29*AE31</f>
        <v>0</v>
      </c>
      <c r="AF32" s="40" t="n">
        <f aca="false">AF29*AF31</f>
        <v>0</v>
      </c>
      <c r="AG32" s="40" t="n">
        <f aca="false">AG29*AG31</f>
        <v>0</v>
      </c>
      <c r="AH32" s="40" t="n">
        <f aca="false">AH29*AH31</f>
        <v>0</v>
      </c>
      <c r="AI32" s="40" t="n">
        <f aca="false">AI29*AI31</f>
        <v>0</v>
      </c>
      <c r="AJ32" s="40" t="n">
        <f aca="false">AJ29*AJ31</f>
        <v>0</v>
      </c>
      <c r="AK32" s="40" t="n">
        <f aca="false">AK29*AK31</f>
        <v>0</v>
      </c>
      <c r="AL32" s="40" t="n">
        <f aca="false">AL29*AL31</f>
        <v>0</v>
      </c>
      <c r="AM32" s="40" t="n">
        <f aca="false">AM29*AM31</f>
        <v>0</v>
      </c>
      <c r="AN32" s="40" t="n">
        <f aca="false">AN29*AN31</f>
        <v>0</v>
      </c>
      <c r="AO32" s="40" t="n">
        <f aca="false">AO29*AO31</f>
        <v>0</v>
      </c>
      <c r="AP32" s="40" t="n">
        <f aca="false">AP29*AP31</f>
        <v>0</v>
      </c>
      <c r="AQ32" s="40" t="n">
        <f aca="false">AQ29*AQ31</f>
        <v>0</v>
      </c>
      <c r="AR32" s="40" t="n">
        <f aca="false">AR29*AR31</f>
        <v>0</v>
      </c>
      <c r="AS32" s="40" t="n">
        <f aca="false">AS29*AS31</f>
        <v>0</v>
      </c>
      <c r="AT32" s="40" t="n">
        <f aca="false">AT29*AT31</f>
        <v>0</v>
      </c>
      <c r="AU32" s="40" t="n">
        <f aca="false">AU29*AU31</f>
        <v>0</v>
      </c>
      <c r="AV32" s="40" t="n">
        <f aca="false">AV29*AV31</f>
        <v>0</v>
      </c>
    </row>
    <row r="33" customFormat="false" ht="15" hidden="false" customHeight="false" outlineLevel="0" collapsed="false">
      <c r="B33" s="7" t="s">
        <v>150</v>
      </c>
      <c r="D33" s="16" t="n">
        <f aca="false">IF(AND($C$13=0,D$19=$C$15),D22-D21*($C$17+$C$11)-MAX(0,D22-D21*$C$17)*Inputs!$C$11,0)</f>
        <v>0</v>
      </c>
      <c r="E33" s="16" t="n">
        <f aca="false">IF(AND($C$13=0,E$19=$C$15),E22-E21*($C$17+$C$11)-MAX(0,E22-E21*$C$17)*Inputs!$C$11,0)</f>
        <v>0</v>
      </c>
      <c r="F33" s="16" t="n">
        <f aca="false">IF(AND($C$13=0,F$19=$C$15),F22-F21*($C$17+$C$11)-MAX(0,F22-F21*$C$17)*Inputs!$C$11,0)</f>
        <v>0</v>
      </c>
      <c r="G33" s="16" t="n">
        <f aca="false">IF(AND($C$13=0,G$19=$C$15),G22-G21*($C$17+$C$11)-MAX(0,G22-G21*$C$17)*Inputs!$C$11,0)</f>
        <v>0</v>
      </c>
      <c r="H33" s="16" t="n">
        <f aca="false">IF(AND($C$13=0,H$19=$C$15),H22-H21*($C$17+$C$11)-MAX(0,H22-H21*$C$17)*Inputs!$C$11,0)</f>
        <v>0</v>
      </c>
      <c r="I33" s="16" t="n">
        <f aca="false">IF(AND($C$13=0,I$19=$C$15),I22-I21*($C$17+$C$11)-MAX(0,I22-I21*$C$17)*Inputs!$C$11,0)</f>
        <v>0</v>
      </c>
      <c r="J33" s="16" t="n">
        <f aca="false">IF(AND($C$13=0,J$19=$C$15),J22-J21*($C$17+$C$11)-MAX(0,J22-J21*$C$17)*Inputs!$C$11,0)</f>
        <v>0</v>
      </c>
      <c r="K33" s="16" t="n">
        <f aca="false">IF(AND($C$13=0,K$19=$C$15),K22-K21*($C$17+$C$11)-MAX(0,K22-K21*$C$17)*Inputs!$C$11,0)</f>
        <v>0</v>
      </c>
      <c r="L33" s="16" t="n">
        <f aca="false">IF(AND($C$13=0,L$19=$C$15),L22-L21*($C$17+$C$11)-MAX(0,L22-L21*$C$17)*Inputs!$C$11,0)</f>
        <v>0</v>
      </c>
      <c r="M33" s="16" t="n">
        <f aca="false">IF(AND($C$13=0,M$19=$C$15),M22-M21*($C$17+$C$11)-MAX(0,M22-M21*$C$17)*Inputs!$C$11,0)</f>
        <v>0</v>
      </c>
      <c r="N33" s="16" t="n">
        <f aca="false">IF(AND($C$13=0,N$19=$C$15),N22-N21*($C$17+$C$11)-MAX(0,N22-N21*$C$17)*Inputs!$C$11,0)</f>
        <v>0</v>
      </c>
      <c r="O33" s="16" t="n">
        <f aca="false">IF(AND($C$13=0,O$19=$C$15),O22-O21*($C$17+$C$11)-MAX(0,O22-O21*$C$17)*Inputs!$C$11,0)</f>
        <v>0</v>
      </c>
      <c r="P33" s="16" t="n">
        <f aca="false">IF(AND($C$13=0,P$19=$C$15),P22-P21*($C$17+$C$11)-MAX(0,P22-P21*$C$17)*Inputs!$C$11,0)</f>
        <v>0</v>
      </c>
      <c r="Q33" s="16" t="n">
        <f aca="false">IF(AND($C$13=0,Q$19=$C$15),Q22-Q21*($C$17+$C$11)-MAX(0,Q22-Q21*$C$17)*Inputs!$C$11,0)</f>
        <v>0</v>
      </c>
      <c r="R33" s="16" t="n">
        <f aca="false">IF(AND($C$13=0,R$19=$C$15),R22-R21*($C$17+$C$11)-MAX(0,R22-R21*$C$17)*Inputs!$C$11,0)</f>
        <v>0</v>
      </c>
      <c r="S33" s="16" t="n">
        <f aca="false">IF(AND($C$13=0,S$19=$C$15),S22-S21*($C$17+$C$11)-MAX(0,S22-S21*$C$17)*Inputs!$C$11,0)</f>
        <v>0</v>
      </c>
      <c r="T33" s="16" t="n">
        <f aca="false">IF(AND($C$13=0,T$19=$C$15),T22-T21*($C$17+$C$11)-MAX(0,T22-T21*$C$17)*Inputs!$C$11,0)</f>
        <v>0</v>
      </c>
      <c r="U33" s="16" t="n">
        <f aca="false">IF(AND($C$13=0,U$19=$C$15),U22-U21*($C$17+$C$11)-MAX(0,U22-U21*$C$17)*Inputs!$C$11,0)</f>
        <v>0</v>
      </c>
      <c r="V33" s="16" t="n">
        <f aca="false">IF(AND($C$13=0,V$19=$C$15),V22-V21*($C$17+$C$11)-MAX(0,V22-V21*$C$17)*Inputs!$C$11,0)</f>
        <v>0</v>
      </c>
      <c r="W33" s="16" t="n">
        <f aca="false">IF(AND($C$13=0,W$19=$C$15),W22-W21*($C$17+$C$11)-MAX(0,W22-W21*$C$17)*Inputs!$C$11,0)</f>
        <v>0</v>
      </c>
      <c r="X33" s="16" t="n">
        <f aca="false">IF(AND($C$13=0,X$19=$C$15),X22-X21*($C$17+$C$11)-MAX(0,X22-X21*$C$17)*Inputs!$C$11,0)</f>
        <v>0</v>
      </c>
      <c r="Y33" s="16" t="n">
        <f aca="false">IF(AND($C$13=0,Y$19=$C$15),Y22-Y21*($C$17+$C$11)-MAX(0,Y22-Y21*$C$17)*Inputs!$C$11,0)</f>
        <v>0</v>
      </c>
      <c r="Z33" s="16" t="n">
        <f aca="false">IF(AND($C$13=0,Z$19=$C$15),Z22-Z21*($C$17+$C$11)-MAX(0,Z22-Z21*$C$17)*Inputs!$C$11,0)</f>
        <v>0</v>
      </c>
      <c r="AA33" s="16" t="n">
        <f aca="false">IF(AND($C$13=0,AA$19=$C$15),AA22-AA21*($C$17+$C$11)-MAX(0,AA22-AA21*$C$17)*Inputs!$C$11,0)</f>
        <v>0</v>
      </c>
      <c r="AB33" s="16" t="n">
        <f aca="false">IF(AND($C$13=0,AB$19=$C$15),AB22-AB21*($C$17+$C$11)-MAX(0,AB22-AB21*$C$17)*Inputs!$C$11,0)</f>
        <v>0</v>
      </c>
      <c r="AC33" s="16" t="n">
        <f aca="false">IF(AND($C$13=0,AC$19=$C$15),AC22-AC21*($C$17+$C$11)-MAX(0,AC22-AC21*$C$17)*Inputs!$C$11,0)</f>
        <v>0</v>
      </c>
      <c r="AD33" s="16" t="n">
        <f aca="false">IF(AND($C$13=0,AD$19=$C$15),AD22-AD21*($C$17+$C$11)-MAX(0,AD22-AD21*$C$17)*Inputs!$C$11,0)</f>
        <v>0</v>
      </c>
      <c r="AE33" s="16" t="n">
        <f aca="false">IF(AND($C$13=0,AE$19=$C$15),AE22-AE21*($C$17+$C$11)-MAX(0,AE22-AE21*$C$17)*Inputs!$C$11,0)</f>
        <v>0</v>
      </c>
      <c r="AF33" s="16" t="n">
        <f aca="false">IF(AND($C$13=0,AF$19=$C$15),AF22-AF21*($C$17+$C$11)-MAX(0,AF22-AF21*$C$17)*Inputs!$C$11,0)</f>
        <v>0</v>
      </c>
      <c r="AG33" s="16" t="n">
        <f aca="false">IF(AND($C$13=0,AG$19=$C$15),AG22-AG21*($C$17+$C$11)-MAX(0,AG22-AG21*$C$17)*Inputs!$C$11,0)</f>
        <v>0</v>
      </c>
      <c r="AH33" s="16" t="n">
        <f aca="false">IF(AND($C$13=0,AH$19=$C$15),AH22-AH21*($C$17+$C$11)-MAX(0,AH22-AH21*$C$17)*Inputs!$C$11,0)</f>
        <v>0</v>
      </c>
      <c r="AI33" s="16" t="n">
        <f aca="false">IF(AND($C$13=0,AI$19=$C$15),AI22-AI21*($C$17+$C$11)-MAX(0,AI22-AI21*$C$17)*Inputs!$C$11,0)</f>
        <v>0</v>
      </c>
      <c r="AJ33" s="16" t="n">
        <f aca="false">IF(AND($C$13=0,AJ$19=$C$15),AJ22-AJ21*($C$17+$C$11)-MAX(0,AJ22-AJ21*$C$17)*Inputs!$C$11,0)</f>
        <v>0</v>
      </c>
      <c r="AK33" s="16" t="n">
        <f aca="false">IF(AND($C$13=0,AK$19=$C$15),AK22-AK21*($C$17+$C$11)-MAX(0,AK22-AK21*$C$17)*Inputs!$C$11,0)</f>
        <v>0</v>
      </c>
      <c r="AL33" s="16" t="n">
        <f aca="false">IF(AND($C$13=0,AL$19=$C$15),AL22-AL21*($C$17+$C$11)-MAX(0,AL22-AL21*$C$17)*Inputs!$C$11,0)</f>
        <v>0</v>
      </c>
      <c r="AM33" s="16" t="n">
        <f aca="false">IF(AND($C$13=0,AM$19=$C$15),AM22-AM21*($C$17+$C$11)-MAX(0,AM22-AM21*$C$17)*Inputs!$C$11,0)</f>
        <v>0</v>
      </c>
      <c r="AN33" s="16" t="n">
        <f aca="false">IF(AND($C$13=0,AN$19=$C$15),AN22-AN21*($C$17+$C$11)-MAX(0,AN22-AN21*$C$17)*Inputs!$C$11,0)</f>
        <v>0</v>
      </c>
      <c r="AO33" s="16" t="n">
        <f aca="false">IF(AND($C$13=0,AO$19=$C$15),AO22-AO21*($C$17+$C$11)-MAX(0,AO22-AO21*$C$17)*Inputs!$C$11,0)</f>
        <v>0</v>
      </c>
      <c r="AP33" s="16" t="n">
        <f aca="false">IF(AND($C$13=0,AP$19=$C$15),AP22-AP21*($C$17+$C$11)-MAX(0,AP22-AP21*$C$17)*Inputs!$C$11,0)</f>
        <v>0</v>
      </c>
      <c r="AQ33" s="16" t="n">
        <f aca="false">IF(AND($C$13=0,AQ$19=$C$15),AQ22-AQ21*($C$17+$C$11)-MAX(0,AQ22-AQ21*$C$17)*Inputs!$C$11,0)</f>
        <v>0</v>
      </c>
      <c r="AR33" s="16" t="n">
        <f aca="false">IF(AND($C$13=0,AR$19=$C$15),AR22-AR21*($C$17+$C$11)-MAX(0,AR22-AR21*$C$17)*Inputs!$C$11,0)</f>
        <v>0</v>
      </c>
      <c r="AS33" s="16" t="n">
        <f aca="false">IF(AND($C$13=0,AS$19=$C$15),AS22-AS21*($C$17+$C$11)-MAX(0,AS22-AS21*$C$17)*Inputs!$C$11,0)</f>
        <v>0</v>
      </c>
      <c r="AT33" s="16" t="n">
        <f aca="false">IF(AND($C$13=0,AT$19=$C$15),AT22-AT21*($C$17+$C$11)-MAX(0,AT22-AT21*$C$17)*Inputs!$C$11,0)</f>
        <v>0</v>
      </c>
      <c r="AU33" s="16" t="n">
        <f aca="false">IF(AND($C$13=0,AU$19=$C$15),AU22-AU21*($C$17+$C$11)-MAX(0,AU22-AU21*$C$17)*Inputs!$C$11,0)</f>
        <v>0</v>
      </c>
      <c r="AV33" s="16" t="n">
        <f aca="false">IF(AND($C$13=0,AV$19=$C$15),AV22-AV21*($C$17+$C$11)-MAX(0,AV22-AV21*$C$17)*Inputs!$C$11,0)</f>
        <v>0</v>
      </c>
    </row>
    <row r="34" customFormat="false" ht="15" hidden="false" customHeight="false" outlineLevel="0" collapsed="false">
      <c r="B34" s="7" t="s">
        <v>151</v>
      </c>
      <c r="D34" s="16" t="n">
        <f aca="false">D33*(1+$C$16)/($C$12-$C$16)*D31</f>
        <v>0</v>
      </c>
      <c r="E34" s="16" t="n">
        <f aca="false">E33*(1+$C$16)/($C$12-$C$16)*E31</f>
        <v>0</v>
      </c>
      <c r="F34" s="16" t="n">
        <f aca="false">F33*(1+$C$16)/($C$12-$C$16)*F31</f>
        <v>0</v>
      </c>
      <c r="G34" s="16" t="n">
        <f aca="false">G33*(1+$C$16)/($C$12-$C$16)*G31</f>
        <v>0</v>
      </c>
      <c r="H34" s="16" t="n">
        <f aca="false">H33*(1+$C$16)/($C$12-$C$16)*H31</f>
        <v>0</v>
      </c>
      <c r="I34" s="16" t="n">
        <f aca="false">I33*(1+$C$16)/($C$12-$C$16)*I31</f>
        <v>0</v>
      </c>
      <c r="J34" s="16" t="n">
        <f aca="false">J33*(1+$C$16)/($C$12-$C$16)*J31</f>
        <v>0</v>
      </c>
      <c r="K34" s="16" t="n">
        <f aca="false">K33*(1+$C$16)/($C$12-$C$16)*K31</f>
        <v>0</v>
      </c>
      <c r="L34" s="16" t="n">
        <f aca="false">L33*(1+$C$16)/($C$12-$C$16)*L31</f>
        <v>0</v>
      </c>
      <c r="M34" s="16" t="n">
        <f aca="false">M33*(1+$C$16)/($C$12-$C$16)*M31</f>
        <v>0</v>
      </c>
      <c r="N34" s="16" t="n">
        <f aca="false">N33*(1+$C$16)/($C$12-$C$16)*N31</f>
        <v>0</v>
      </c>
      <c r="O34" s="16" t="n">
        <f aca="false">O33*(1+$C$16)/($C$12-$C$16)*O31</f>
        <v>0</v>
      </c>
      <c r="P34" s="16" t="n">
        <f aca="false">P33*(1+$C$16)/($C$12-$C$16)*P31</f>
        <v>0</v>
      </c>
      <c r="Q34" s="16" t="n">
        <f aca="false">Q33*(1+$C$16)/($C$12-$C$16)*Q31</f>
        <v>0</v>
      </c>
      <c r="R34" s="16" t="n">
        <f aca="false">R33*(1+$C$16)/($C$12-$C$16)*R31</f>
        <v>0</v>
      </c>
      <c r="S34" s="16" t="n">
        <f aca="false">S33*(1+$C$16)/($C$12-$C$16)*S31</f>
        <v>0</v>
      </c>
      <c r="T34" s="16" t="n">
        <f aca="false">T33*(1+$C$16)/($C$12-$C$16)*T31</f>
        <v>0</v>
      </c>
      <c r="U34" s="16" t="n">
        <f aca="false">U33*(1+$C$16)/($C$12-$C$16)*U31</f>
        <v>0</v>
      </c>
      <c r="V34" s="16" t="n">
        <f aca="false">V33*(1+$C$16)/($C$12-$C$16)*V31</f>
        <v>0</v>
      </c>
      <c r="W34" s="16" t="n">
        <f aca="false">W33*(1+$C$16)/($C$12-$C$16)*W31</f>
        <v>0</v>
      </c>
      <c r="X34" s="16" t="n">
        <f aca="false">X33*(1+$C$16)/($C$12-$C$16)*X31</f>
        <v>0</v>
      </c>
      <c r="Y34" s="16" t="n">
        <f aca="false">Y33*(1+$C$16)/($C$12-$C$16)*Y31</f>
        <v>0</v>
      </c>
      <c r="Z34" s="16" t="n">
        <f aca="false">Z33*(1+$C$16)/($C$12-$C$16)*Z31</f>
        <v>0</v>
      </c>
      <c r="AA34" s="16" t="n">
        <f aca="false">AA33*(1+$C$16)/($C$12-$C$16)*AA31</f>
        <v>0</v>
      </c>
      <c r="AB34" s="16" t="n">
        <f aca="false">AB33*(1+$C$16)/($C$12-$C$16)*AB31</f>
        <v>0</v>
      </c>
      <c r="AC34" s="16" t="n">
        <f aca="false">AC33*(1+$C$16)/($C$12-$C$16)*AC31</f>
        <v>0</v>
      </c>
      <c r="AD34" s="16" t="n">
        <f aca="false">AD33*(1+$C$16)/($C$12-$C$16)*AD31</f>
        <v>0</v>
      </c>
      <c r="AE34" s="16" t="n">
        <f aca="false">AE33*(1+$C$16)/($C$12-$C$16)*AE31</f>
        <v>0</v>
      </c>
      <c r="AF34" s="16" t="n">
        <f aca="false">AF33*(1+$C$16)/($C$12-$C$16)*AF31</f>
        <v>0</v>
      </c>
      <c r="AG34" s="16" t="n">
        <f aca="false">AG33*(1+$C$16)/($C$12-$C$16)*AG31</f>
        <v>0</v>
      </c>
      <c r="AH34" s="16" t="n">
        <f aca="false">AH33*(1+$C$16)/($C$12-$C$16)*AH31</f>
        <v>0</v>
      </c>
      <c r="AI34" s="16" t="n">
        <f aca="false">AI33*(1+$C$16)/($C$12-$C$16)*AI31</f>
        <v>0</v>
      </c>
      <c r="AJ34" s="16" t="n">
        <f aca="false">AJ33*(1+$C$16)/($C$12-$C$16)*AJ31</f>
        <v>0</v>
      </c>
      <c r="AK34" s="16" t="n">
        <f aca="false">AK33*(1+$C$16)/($C$12-$C$16)*AK31</f>
        <v>0</v>
      </c>
      <c r="AL34" s="16" t="n">
        <f aca="false">AL33*(1+$C$16)/($C$12-$C$16)*AL31</f>
        <v>0</v>
      </c>
      <c r="AM34" s="16" t="n">
        <f aca="false">AM33*(1+$C$16)/($C$12-$C$16)*AM31</f>
        <v>0</v>
      </c>
      <c r="AN34" s="16" t="n">
        <f aca="false">AN33*(1+$C$16)/($C$12-$C$16)*AN31</f>
        <v>0</v>
      </c>
      <c r="AO34" s="16" t="n">
        <f aca="false">AO33*(1+$C$16)/($C$12-$C$16)*AO31</f>
        <v>0</v>
      </c>
      <c r="AP34" s="16" t="n">
        <f aca="false">AP33*(1+$C$16)/($C$12-$C$16)*AP31</f>
        <v>0</v>
      </c>
      <c r="AQ34" s="16" t="n">
        <f aca="false">AQ33*(1+$C$16)/($C$12-$C$16)*AQ31</f>
        <v>0</v>
      </c>
      <c r="AR34" s="16" t="n">
        <f aca="false">AR33*(1+$C$16)/($C$12-$C$16)*AR31</f>
        <v>0</v>
      </c>
      <c r="AS34" s="16" t="n">
        <f aca="false">AS33*(1+$C$16)/($C$12-$C$16)*AS31</f>
        <v>0</v>
      </c>
      <c r="AT34" s="16" t="n">
        <f aca="false">AT33*(1+$C$16)/($C$12-$C$16)*AT31</f>
        <v>0</v>
      </c>
      <c r="AU34" s="16" t="n">
        <f aca="false">AU33*(1+$C$16)/($C$12-$C$16)*AU31</f>
        <v>0</v>
      </c>
      <c r="AV34" s="16" t="n">
        <f aca="false">AV33*(1+$C$16)/($C$12-$C$16)*AV31</f>
        <v>0</v>
      </c>
    </row>
    <row r="36" customFormat="false" ht="15" hidden="false" customHeight="false" outlineLevel="0" collapsed="false">
      <c r="B36" s="7" t="s">
        <v>152</v>
      </c>
      <c r="C36" s="16" t="n">
        <f aca="false">SUM($D$32:$AV$32)</f>
        <v>4138.18123761969</v>
      </c>
    </row>
    <row r="37" customFormat="false" ht="15" hidden="false" customHeight="false" outlineLevel="0" collapsed="false">
      <c r="B37" s="7" t="s">
        <v>151</v>
      </c>
      <c r="C37" s="16" t="n">
        <f aca="false">SUM($D$34:$AV$34)</f>
        <v>0</v>
      </c>
    </row>
    <row r="38" customFormat="false" ht="15" hidden="false" customHeight="false" outlineLevel="0" collapsed="false">
      <c r="B38" s="12" t="s">
        <v>174</v>
      </c>
      <c r="C38" s="13" t="n">
        <f aca="false">C36+C37</f>
        <v>4138.18123761969</v>
      </c>
    </row>
    <row r="39" customFormat="false" ht="15" hidden="false" customHeight="false" outlineLevel="0" collapsed="false">
      <c r="B39" s="7" t="s">
        <v>154</v>
      </c>
      <c r="C39" s="10" t="n">
        <f aca="false">IF(C38=0,0,C37/C38)</f>
        <v>0</v>
      </c>
    </row>
    <row r="40" customFormat="false" ht="15" hidden="false" customHeight="false" outlineLevel="0" collapsed="false">
      <c r="B40" s="7" t="s">
        <v>155</v>
      </c>
      <c r="C40" s="41" t="n">
        <f aca="false">IF(D22=0,0,C38/D22)</f>
        <v>11.4229893321286</v>
      </c>
    </row>
    <row r="41" customFormat="false" ht="15" hidden="false" customHeight="false" outlineLevel="0" collapsed="false">
      <c r="B41" s="7" t="s">
        <v>156</v>
      </c>
      <c r="C41" s="16" t="n">
        <f aca="false">SUM($D$33:$AV$33)</f>
        <v>0</v>
      </c>
    </row>
    <row r="42" customFormat="false" ht="15" hidden="false" customHeight="false" outlineLevel="0" collapsed="false">
      <c r="B42" s="7" t="s">
        <v>157</v>
      </c>
      <c r="C42" s="37" t="n">
        <f aca="false">SUMPRODUCT(($D$19:$AV$19=$C$15)*$D$30:$AV$30)</f>
        <v>0</v>
      </c>
    </row>
    <row r="43" customFormat="false" ht="15" hidden="false" customHeight="false" outlineLevel="0" collapsed="false">
      <c r="B43" s="12" t="s">
        <v>158</v>
      </c>
      <c r="C43" s="12" t="str">
        <f aca="false">IF(AND($C$12&gt;$C$16,SUMPRODUCT(($D$19:$AV$19&gt;YEAR($C$14))*($C$13=1)*ABS($D$29:$AV$29))=0),"OK","REVISAR")</f>
        <v>OK</v>
      </c>
    </row>
  </sheetData>
  <mergeCells count="2">
    <mergeCell ref="B4:F4"/>
    <mergeCell ref="D5:N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V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2" min="2" style="0" width="58"/>
    <col collapsed="false" customWidth="true" hidden="false" outlineLevel="0" max="3" min="3" style="0" width="14"/>
    <col collapsed="false" customWidth="true" hidden="false" outlineLevel="0" max="48" min="4" style="0" width="9"/>
  </cols>
  <sheetData>
    <row r="2" customFormat="false" ht="16.15" hidden="false" customHeight="false" outlineLevel="0" collapsed="false">
      <c r="B2" s="4" t="s">
        <v>175</v>
      </c>
    </row>
    <row r="4" customFormat="false" ht="15" hidden="false" customHeight="false" outlineLevel="0" collapsed="false">
      <c r="B4" s="22" t="s">
        <v>40</v>
      </c>
      <c r="C4" s="22"/>
      <c r="D4" s="22"/>
      <c r="E4" s="22"/>
      <c r="F4" s="22"/>
    </row>
    <row r="5" customFormat="false" ht="15" hidden="false" customHeight="true" outlineLevel="0" collapsed="false">
      <c r="B5" s="7" t="s">
        <v>122</v>
      </c>
      <c r="C5" s="31" t="n">
        <v>21608</v>
      </c>
      <c r="D5" s="33" t="s">
        <v>176</v>
      </c>
      <c r="E5" s="33"/>
      <c r="F5" s="33"/>
      <c r="G5" s="33"/>
      <c r="H5" s="33"/>
      <c r="I5" s="33"/>
      <c r="J5" s="33"/>
      <c r="K5" s="33"/>
      <c r="L5" s="33"/>
      <c r="M5" s="33"/>
      <c r="N5" s="33"/>
    </row>
    <row r="6" customFormat="false" ht="15" hidden="false" customHeight="false" outlineLevel="0" collapsed="false">
      <c r="B6" s="7" t="s">
        <v>124</v>
      </c>
      <c r="C6" s="29" t="n">
        <v>0.065</v>
      </c>
      <c r="D6" s="33"/>
      <c r="E6" s="33"/>
      <c r="F6" s="33"/>
      <c r="G6" s="33"/>
      <c r="H6" s="33"/>
      <c r="I6" s="33"/>
      <c r="J6" s="33"/>
      <c r="K6" s="33"/>
      <c r="L6" s="33"/>
      <c r="M6" s="33"/>
      <c r="N6" s="33"/>
    </row>
    <row r="7" customFormat="false" ht="15" hidden="false" customHeight="false" outlineLevel="0" collapsed="false">
      <c r="B7" s="7" t="s">
        <v>125</v>
      </c>
      <c r="C7" s="30" t="n">
        <v>0.05</v>
      </c>
      <c r="D7" s="33"/>
      <c r="E7" s="33"/>
      <c r="F7" s="33"/>
      <c r="G7" s="33"/>
      <c r="H7" s="33"/>
      <c r="I7" s="33"/>
      <c r="J7" s="33"/>
      <c r="K7" s="33"/>
      <c r="L7" s="33"/>
      <c r="M7" s="33"/>
      <c r="N7" s="33"/>
    </row>
    <row r="8" customFormat="false" ht="15" hidden="false" customHeight="false" outlineLevel="0" collapsed="false">
      <c r="B8" s="7" t="s">
        <v>126</v>
      </c>
      <c r="C8" s="29" t="n">
        <v>0.0934</v>
      </c>
      <c r="D8" s="33"/>
      <c r="E8" s="33"/>
      <c r="F8" s="33"/>
      <c r="G8" s="33"/>
      <c r="H8" s="33"/>
      <c r="I8" s="33"/>
      <c r="J8" s="33"/>
      <c r="K8" s="33"/>
      <c r="L8" s="33"/>
      <c r="M8" s="33"/>
      <c r="N8" s="33"/>
    </row>
    <row r="9" customFormat="false" ht="15" hidden="false" customHeight="false" outlineLevel="0" collapsed="false">
      <c r="B9" s="7" t="s">
        <v>127</v>
      </c>
      <c r="C9" s="29" t="n">
        <v>0.0287</v>
      </c>
      <c r="D9" s="33"/>
      <c r="E9" s="33"/>
      <c r="F9" s="33"/>
      <c r="G9" s="33"/>
      <c r="H9" s="33"/>
      <c r="I9" s="33"/>
      <c r="J9" s="33"/>
      <c r="K9" s="33"/>
      <c r="L9" s="33"/>
      <c r="M9" s="33"/>
      <c r="N9" s="33"/>
    </row>
    <row r="10" customFormat="false" ht="15" hidden="false" customHeight="false" outlineLevel="0" collapsed="false">
      <c r="B10" s="7" t="s">
        <v>128</v>
      </c>
      <c r="C10" s="29" t="n">
        <v>0.013</v>
      </c>
      <c r="D10" s="33"/>
      <c r="E10" s="33"/>
      <c r="F10" s="33"/>
      <c r="G10" s="33"/>
      <c r="H10" s="33"/>
      <c r="I10" s="33"/>
      <c r="J10" s="33"/>
      <c r="K10" s="33"/>
      <c r="L10" s="33"/>
      <c r="M10" s="33"/>
      <c r="N10" s="33"/>
    </row>
    <row r="11" customFormat="false" ht="15" hidden="false" customHeight="false" outlineLevel="0" collapsed="false">
      <c r="B11" s="7" t="s">
        <v>129</v>
      </c>
      <c r="C11" s="29" t="n">
        <v>0.0206</v>
      </c>
      <c r="D11" s="33"/>
      <c r="E11" s="33"/>
      <c r="F11" s="33"/>
      <c r="G11" s="33"/>
      <c r="H11" s="33"/>
      <c r="I11" s="33"/>
      <c r="J11" s="33"/>
      <c r="K11" s="33"/>
      <c r="L11" s="33"/>
      <c r="M11" s="33"/>
      <c r="N11" s="33"/>
    </row>
    <row r="12" customFormat="false" ht="15" hidden="false" customHeight="false" outlineLevel="0" collapsed="false">
      <c r="B12" s="7" t="s">
        <v>130</v>
      </c>
      <c r="C12" s="30" t="n">
        <v>0.075</v>
      </c>
      <c r="D12" s="33"/>
      <c r="E12" s="33"/>
      <c r="F12" s="33"/>
      <c r="G12" s="33"/>
      <c r="H12" s="33"/>
      <c r="I12" s="33"/>
      <c r="J12" s="33"/>
      <c r="K12" s="33"/>
      <c r="L12" s="33"/>
      <c r="M12" s="33"/>
      <c r="N12" s="33"/>
    </row>
    <row r="13" customFormat="false" ht="15" hidden="false" customHeight="false" outlineLevel="0" collapsed="false">
      <c r="B13" s="7" t="s">
        <v>131</v>
      </c>
      <c r="C13" s="34" t="n">
        <v>0</v>
      </c>
      <c r="D13" s="33"/>
      <c r="E13" s="33"/>
      <c r="F13" s="33"/>
      <c r="G13" s="33"/>
      <c r="H13" s="33"/>
      <c r="I13" s="33"/>
      <c r="J13" s="33"/>
      <c r="K13" s="33"/>
      <c r="L13" s="33"/>
      <c r="M13" s="33"/>
      <c r="N13" s="33"/>
    </row>
    <row r="14" customFormat="false" ht="15" hidden="false" customHeight="false" outlineLevel="0" collapsed="false">
      <c r="B14" s="7" t="s">
        <v>132</v>
      </c>
      <c r="C14" s="35" t="n">
        <v>46387</v>
      </c>
      <c r="D14" s="33"/>
      <c r="E14" s="33"/>
      <c r="F14" s="33"/>
      <c r="G14" s="33"/>
      <c r="H14" s="33"/>
      <c r="I14" s="33"/>
      <c r="J14" s="33"/>
      <c r="K14" s="33"/>
      <c r="L14" s="33"/>
      <c r="M14" s="33"/>
      <c r="N14" s="33"/>
    </row>
    <row r="15" customFormat="false" ht="15" hidden="false" customHeight="false" outlineLevel="0" collapsed="false">
      <c r="B15" s="7" t="s">
        <v>133</v>
      </c>
      <c r="C15" s="34" t="n">
        <v>2030</v>
      </c>
      <c r="D15" s="33"/>
      <c r="E15" s="33"/>
      <c r="F15" s="33"/>
      <c r="G15" s="33"/>
      <c r="H15" s="33"/>
      <c r="I15" s="33"/>
      <c r="J15" s="33"/>
      <c r="K15" s="33"/>
      <c r="L15" s="33"/>
      <c r="M15" s="33"/>
      <c r="N15" s="33"/>
    </row>
    <row r="16" customFormat="false" ht="15" hidden="false" customHeight="false" outlineLevel="0" collapsed="false">
      <c r="B16" s="7" t="s">
        <v>134</v>
      </c>
      <c r="C16" s="30" t="n">
        <v>0.02</v>
      </c>
      <c r="D16" s="33"/>
      <c r="E16" s="33"/>
      <c r="F16" s="33"/>
      <c r="G16" s="33"/>
      <c r="H16" s="33"/>
      <c r="I16" s="33"/>
      <c r="J16" s="33"/>
      <c r="K16" s="33"/>
      <c r="L16" s="33"/>
      <c r="M16" s="33"/>
      <c r="N16" s="33"/>
    </row>
    <row r="17" customFormat="false" ht="15" hidden="false" customHeight="false" outlineLevel="0" collapsed="false">
      <c r="B17" s="7" t="s">
        <v>135</v>
      </c>
      <c r="C17" s="29" t="n">
        <v>0.014</v>
      </c>
      <c r="D17" s="33"/>
      <c r="E17" s="33"/>
      <c r="F17" s="33"/>
      <c r="G17" s="33"/>
      <c r="H17" s="33"/>
      <c r="I17" s="33"/>
      <c r="J17" s="33"/>
      <c r="K17" s="33"/>
      <c r="L17" s="33"/>
      <c r="M17" s="33"/>
      <c r="N17" s="33"/>
    </row>
    <row r="19" customFormat="false" ht="15" hidden="false" customHeight="false" outlineLevel="0" collapsed="false">
      <c r="B19" s="6" t="s">
        <v>136</v>
      </c>
      <c r="D19" s="36" t="n">
        <v>2026</v>
      </c>
      <c r="E19" s="36" t="n">
        <v>2027</v>
      </c>
      <c r="F19" s="36" t="n">
        <v>2028</v>
      </c>
      <c r="G19" s="36" t="n">
        <v>2029</v>
      </c>
      <c r="H19" s="36" t="n">
        <v>2030</v>
      </c>
      <c r="I19" s="36" t="n">
        <v>2031</v>
      </c>
      <c r="J19" s="36" t="n">
        <v>2032</v>
      </c>
      <c r="K19" s="36" t="n">
        <v>2033</v>
      </c>
      <c r="L19" s="36" t="n">
        <v>2034</v>
      </c>
      <c r="M19" s="36" t="n">
        <v>2035</v>
      </c>
      <c r="N19" s="36" t="n">
        <v>2036</v>
      </c>
      <c r="O19" s="36" t="n">
        <v>2037</v>
      </c>
      <c r="P19" s="36" t="n">
        <v>2038</v>
      </c>
      <c r="Q19" s="36" t="n">
        <v>2039</v>
      </c>
      <c r="R19" s="36" t="n">
        <v>2040</v>
      </c>
      <c r="S19" s="36" t="n">
        <v>2041</v>
      </c>
      <c r="T19" s="36" t="n">
        <v>2042</v>
      </c>
      <c r="U19" s="36" t="n">
        <v>2043</v>
      </c>
      <c r="V19" s="36" t="n">
        <v>2044</v>
      </c>
      <c r="W19" s="36" t="n">
        <v>2045</v>
      </c>
      <c r="X19" s="36" t="n">
        <v>2046</v>
      </c>
      <c r="Y19" s="36" t="n">
        <v>2047</v>
      </c>
      <c r="Z19" s="36" t="n">
        <v>2048</v>
      </c>
      <c r="AA19" s="36" t="n">
        <v>2049</v>
      </c>
      <c r="AB19" s="36" t="n">
        <v>2050</v>
      </c>
      <c r="AC19" s="36" t="n">
        <v>2051</v>
      </c>
      <c r="AD19" s="36" t="n">
        <v>2052</v>
      </c>
      <c r="AE19" s="36" t="n">
        <v>2053</v>
      </c>
      <c r="AF19" s="36" t="n">
        <v>2054</v>
      </c>
      <c r="AG19" s="36" t="n">
        <v>2055</v>
      </c>
      <c r="AH19" s="36" t="n">
        <v>2056</v>
      </c>
      <c r="AI19" s="36" t="n">
        <v>2057</v>
      </c>
      <c r="AJ19" s="36" t="n">
        <v>2058</v>
      </c>
      <c r="AK19" s="36" t="n">
        <v>2059</v>
      </c>
      <c r="AL19" s="36" t="n">
        <v>2060</v>
      </c>
      <c r="AM19" s="36" t="n">
        <v>2061</v>
      </c>
      <c r="AN19" s="36" t="n">
        <v>2062</v>
      </c>
      <c r="AO19" s="36" t="n">
        <v>2063</v>
      </c>
      <c r="AP19" s="36" t="n">
        <v>2064</v>
      </c>
      <c r="AQ19" s="36" t="n">
        <v>2065</v>
      </c>
      <c r="AR19" s="36" t="n">
        <v>2066</v>
      </c>
      <c r="AS19" s="36" t="n">
        <v>2067</v>
      </c>
      <c r="AT19" s="36" t="n">
        <v>2068</v>
      </c>
      <c r="AU19" s="36" t="n">
        <v>2069</v>
      </c>
      <c r="AV19" s="36" t="n">
        <v>2070</v>
      </c>
    </row>
    <row r="20" customFormat="false" ht="15" hidden="false" customHeight="false" outlineLevel="0" collapsed="false">
      <c r="B20" s="7" t="s">
        <v>137</v>
      </c>
      <c r="D20" s="37" t="n">
        <f aca="false">IF($C$13=1,MAX(0,MIN(DATE(D$19,12,31),$C$14)-MAX(Inputs!$C$5+1,DATE(D$19,1,1))+1)/365,IF(D$19&lt;=$C$15,(DATE(D$19,12,31)-MAX(Inputs!$C$5+1,DATE(D$19,1,1))+1)/365,0))</f>
        <v>0.504109589041096</v>
      </c>
      <c r="E20" s="37" t="n">
        <f aca="false">IF($C$13=1,MAX(0,MIN(DATE(E$19,12,31),$C$14)-MAX(Inputs!$C$5+1,DATE(E$19,1,1))+1)/365,IF(E$19&lt;=$C$15,(DATE(E$19,12,31)-MAX(Inputs!$C$5+1,DATE(E$19,1,1))+1)/365,0))</f>
        <v>1</v>
      </c>
      <c r="F20" s="37" t="n">
        <f aca="false">IF($C$13=1,MAX(0,MIN(DATE(F$19,12,31),$C$14)-MAX(Inputs!$C$5+1,DATE(F$19,1,1))+1)/365,IF(F$19&lt;=$C$15,(DATE(F$19,12,31)-MAX(Inputs!$C$5+1,DATE(F$19,1,1))+1)/365,0))</f>
        <v>1.0027397260274</v>
      </c>
      <c r="G20" s="37" t="n">
        <f aca="false">IF($C$13=1,MAX(0,MIN(DATE(G$19,12,31),$C$14)-MAX(Inputs!$C$5+1,DATE(G$19,1,1))+1)/365,IF(G$19&lt;=$C$15,(DATE(G$19,12,31)-MAX(Inputs!$C$5+1,DATE(G$19,1,1))+1)/365,0))</f>
        <v>1</v>
      </c>
      <c r="H20" s="37" t="n">
        <f aca="false">IF($C$13=1,MAX(0,MIN(DATE(H$19,12,31),$C$14)-MAX(Inputs!$C$5+1,DATE(H$19,1,1))+1)/365,IF(H$19&lt;=$C$15,(DATE(H$19,12,31)-MAX(Inputs!$C$5+1,DATE(H$19,1,1))+1)/365,0))</f>
        <v>1</v>
      </c>
      <c r="I20" s="37" t="n">
        <f aca="false">IF($C$13=1,MAX(0,MIN(DATE(I$19,12,31),$C$14)-MAX(Inputs!$C$5+1,DATE(I$19,1,1))+1)/365,IF(I$19&lt;=$C$15,(DATE(I$19,12,31)-MAX(Inputs!$C$5+1,DATE(I$19,1,1))+1)/365,0))</f>
        <v>0</v>
      </c>
      <c r="J20" s="37" t="n">
        <f aca="false">IF($C$13=1,MAX(0,MIN(DATE(J$19,12,31),$C$14)-MAX(Inputs!$C$5+1,DATE(J$19,1,1))+1)/365,IF(J$19&lt;=$C$15,(DATE(J$19,12,31)-MAX(Inputs!$C$5+1,DATE(J$19,1,1))+1)/365,0))</f>
        <v>0</v>
      </c>
      <c r="K20" s="37" t="n">
        <f aca="false">IF($C$13=1,MAX(0,MIN(DATE(K$19,12,31),$C$14)-MAX(Inputs!$C$5+1,DATE(K$19,1,1))+1)/365,IF(K$19&lt;=$C$15,(DATE(K$19,12,31)-MAX(Inputs!$C$5+1,DATE(K$19,1,1))+1)/365,0))</f>
        <v>0</v>
      </c>
      <c r="L20" s="37" t="n">
        <f aca="false">IF($C$13=1,MAX(0,MIN(DATE(L$19,12,31),$C$14)-MAX(Inputs!$C$5+1,DATE(L$19,1,1))+1)/365,IF(L$19&lt;=$C$15,(DATE(L$19,12,31)-MAX(Inputs!$C$5+1,DATE(L$19,1,1))+1)/365,0))</f>
        <v>0</v>
      </c>
      <c r="M20" s="37" t="n">
        <f aca="false">IF($C$13=1,MAX(0,MIN(DATE(M$19,12,31),$C$14)-MAX(Inputs!$C$5+1,DATE(M$19,1,1))+1)/365,IF(M$19&lt;=$C$15,(DATE(M$19,12,31)-MAX(Inputs!$C$5+1,DATE(M$19,1,1))+1)/365,0))</f>
        <v>0</v>
      </c>
      <c r="N20" s="37" t="n">
        <f aca="false">IF($C$13=1,MAX(0,MIN(DATE(N$19,12,31),$C$14)-MAX(Inputs!$C$5+1,DATE(N$19,1,1))+1)/365,IF(N$19&lt;=$C$15,(DATE(N$19,12,31)-MAX(Inputs!$C$5+1,DATE(N$19,1,1))+1)/365,0))</f>
        <v>0</v>
      </c>
      <c r="O20" s="37" t="n">
        <f aca="false">IF($C$13=1,MAX(0,MIN(DATE(O$19,12,31),$C$14)-MAX(Inputs!$C$5+1,DATE(O$19,1,1))+1)/365,IF(O$19&lt;=$C$15,(DATE(O$19,12,31)-MAX(Inputs!$C$5+1,DATE(O$19,1,1))+1)/365,0))</f>
        <v>0</v>
      </c>
      <c r="P20" s="37" t="n">
        <f aca="false">IF($C$13=1,MAX(0,MIN(DATE(P$19,12,31),$C$14)-MAX(Inputs!$C$5+1,DATE(P$19,1,1))+1)/365,IF(P$19&lt;=$C$15,(DATE(P$19,12,31)-MAX(Inputs!$C$5+1,DATE(P$19,1,1))+1)/365,0))</f>
        <v>0</v>
      </c>
      <c r="Q20" s="37" t="n">
        <f aca="false">IF($C$13=1,MAX(0,MIN(DATE(Q$19,12,31),$C$14)-MAX(Inputs!$C$5+1,DATE(Q$19,1,1))+1)/365,IF(Q$19&lt;=$C$15,(DATE(Q$19,12,31)-MAX(Inputs!$C$5+1,DATE(Q$19,1,1))+1)/365,0))</f>
        <v>0</v>
      </c>
      <c r="R20" s="37" t="n">
        <f aca="false">IF($C$13=1,MAX(0,MIN(DATE(R$19,12,31),$C$14)-MAX(Inputs!$C$5+1,DATE(R$19,1,1))+1)/365,IF(R$19&lt;=$C$15,(DATE(R$19,12,31)-MAX(Inputs!$C$5+1,DATE(R$19,1,1))+1)/365,0))</f>
        <v>0</v>
      </c>
      <c r="S20" s="37" t="n">
        <f aca="false">IF($C$13=1,MAX(0,MIN(DATE(S$19,12,31),$C$14)-MAX(Inputs!$C$5+1,DATE(S$19,1,1))+1)/365,IF(S$19&lt;=$C$15,(DATE(S$19,12,31)-MAX(Inputs!$C$5+1,DATE(S$19,1,1))+1)/365,0))</f>
        <v>0</v>
      </c>
      <c r="T20" s="37" t="n">
        <f aca="false">IF($C$13=1,MAX(0,MIN(DATE(T$19,12,31),$C$14)-MAX(Inputs!$C$5+1,DATE(T$19,1,1))+1)/365,IF(T$19&lt;=$C$15,(DATE(T$19,12,31)-MAX(Inputs!$C$5+1,DATE(T$19,1,1))+1)/365,0))</f>
        <v>0</v>
      </c>
      <c r="U20" s="37" t="n">
        <f aca="false">IF($C$13=1,MAX(0,MIN(DATE(U$19,12,31),$C$14)-MAX(Inputs!$C$5+1,DATE(U$19,1,1))+1)/365,IF(U$19&lt;=$C$15,(DATE(U$19,12,31)-MAX(Inputs!$C$5+1,DATE(U$19,1,1))+1)/365,0))</f>
        <v>0</v>
      </c>
      <c r="V20" s="37" t="n">
        <f aca="false">IF($C$13=1,MAX(0,MIN(DATE(V$19,12,31),$C$14)-MAX(Inputs!$C$5+1,DATE(V$19,1,1))+1)/365,IF(V$19&lt;=$C$15,(DATE(V$19,12,31)-MAX(Inputs!$C$5+1,DATE(V$19,1,1))+1)/365,0))</f>
        <v>0</v>
      </c>
      <c r="W20" s="37" t="n">
        <f aca="false">IF($C$13=1,MAX(0,MIN(DATE(W$19,12,31),$C$14)-MAX(Inputs!$C$5+1,DATE(W$19,1,1))+1)/365,IF(W$19&lt;=$C$15,(DATE(W$19,12,31)-MAX(Inputs!$C$5+1,DATE(W$19,1,1))+1)/365,0))</f>
        <v>0</v>
      </c>
      <c r="X20" s="37" t="n">
        <f aca="false">IF($C$13=1,MAX(0,MIN(DATE(X$19,12,31),$C$14)-MAX(Inputs!$C$5+1,DATE(X$19,1,1))+1)/365,IF(X$19&lt;=$C$15,(DATE(X$19,12,31)-MAX(Inputs!$C$5+1,DATE(X$19,1,1))+1)/365,0))</f>
        <v>0</v>
      </c>
      <c r="Y20" s="37" t="n">
        <f aca="false">IF($C$13=1,MAX(0,MIN(DATE(Y$19,12,31),$C$14)-MAX(Inputs!$C$5+1,DATE(Y$19,1,1))+1)/365,IF(Y$19&lt;=$C$15,(DATE(Y$19,12,31)-MAX(Inputs!$C$5+1,DATE(Y$19,1,1))+1)/365,0))</f>
        <v>0</v>
      </c>
      <c r="Z20" s="37" t="n">
        <f aca="false">IF($C$13=1,MAX(0,MIN(DATE(Z$19,12,31),$C$14)-MAX(Inputs!$C$5+1,DATE(Z$19,1,1))+1)/365,IF(Z$19&lt;=$C$15,(DATE(Z$19,12,31)-MAX(Inputs!$C$5+1,DATE(Z$19,1,1))+1)/365,0))</f>
        <v>0</v>
      </c>
      <c r="AA20" s="37" t="n">
        <f aca="false">IF($C$13=1,MAX(0,MIN(DATE(AA$19,12,31),$C$14)-MAX(Inputs!$C$5+1,DATE(AA$19,1,1))+1)/365,IF(AA$19&lt;=$C$15,(DATE(AA$19,12,31)-MAX(Inputs!$C$5+1,DATE(AA$19,1,1))+1)/365,0))</f>
        <v>0</v>
      </c>
      <c r="AB20" s="37" t="n">
        <f aca="false">IF($C$13=1,MAX(0,MIN(DATE(AB$19,12,31),$C$14)-MAX(Inputs!$C$5+1,DATE(AB$19,1,1))+1)/365,IF(AB$19&lt;=$C$15,(DATE(AB$19,12,31)-MAX(Inputs!$C$5+1,DATE(AB$19,1,1))+1)/365,0))</f>
        <v>0</v>
      </c>
      <c r="AC20" s="37" t="n">
        <f aca="false">IF($C$13=1,MAX(0,MIN(DATE(AC$19,12,31),$C$14)-MAX(Inputs!$C$5+1,DATE(AC$19,1,1))+1)/365,IF(AC$19&lt;=$C$15,(DATE(AC$19,12,31)-MAX(Inputs!$C$5+1,DATE(AC$19,1,1))+1)/365,0))</f>
        <v>0</v>
      </c>
      <c r="AD20" s="37" t="n">
        <f aca="false">IF($C$13=1,MAX(0,MIN(DATE(AD$19,12,31),$C$14)-MAX(Inputs!$C$5+1,DATE(AD$19,1,1))+1)/365,IF(AD$19&lt;=$C$15,(DATE(AD$19,12,31)-MAX(Inputs!$C$5+1,DATE(AD$19,1,1))+1)/365,0))</f>
        <v>0</v>
      </c>
      <c r="AE20" s="37" t="n">
        <f aca="false">IF($C$13=1,MAX(0,MIN(DATE(AE$19,12,31),$C$14)-MAX(Inputs!$C$5+1,DATE(AE$19,1,1))+1)/365,IF(AE$19&lt;=$C$15,(DATE(AE$19,12,31)-MAX(Inputs!$C$5+1,DATE(AE$19,1,1))+1)/365,0))</f>
        <v>0</v>
      </c>
      <c r="AF20" s="37" t="n">
        <f aca="false">IF($C$13=1,MAX(0,MIN(DATE(AF$19,12,31),$C$14)-MAX(Inputs!$C$5+1,DATE(AF$19,1,1))+1)/365,IF(AF$19&lt;=$C$15,(DATE(AF$19,12,31)-MAX(Inputs!$C$5+1,DATE(AF$19,1,1))+1)/365,0))</f>
        <v>0</v>
      </c>
      <c r="AG20" s="37" t="n">
        <f aca="false">IF($C$13=1,MAX(0,MIN(DATE(AG$19,12,31),$C$14)-MAX(Inputs!$C$5+1,DATE(AG$19,1,1))+1)/365,IF(AG$19&lt;=$C$15,(DATE(AG$19,12,31)-MAX(Inputs!$C$5+1,DATE(AG$19,1,1))+1)/365,0))</f>
        <v>0</v>
      </c>
      <c r="AH20" s="37" t="n">
        <f aca="false">IF($C$13=1,MAX(0,MIN(DATE(AH$19,12,31),$C$14)-MAX(Inputs!$C$5+1,DATE(AH$19,1,1))+1)/365,IF(AH$19&lt;=$C$15,(DATE(AH$19,12,31)-MAX(Inputs!$C$5+1,DATE(AH$19,1,1))+1)/365,0))</f>
        <v>0</v>
      </c>
      <c r="AI20" s="37" t="n">
        <f aca="false">IF($C$13=1,MAX(0,MIN(DATE(AI$19,12,31),$C$14)-MAX(Inputs!$C$5+1,DATE(AI$19,1,1))+1)/365,IF(AI$19&lt;=$C$15,(DATE(AI$19,12,31)-MAX(Inputs!$C$5+1,DATE(AI$19,1,1))+1)/365,0))</f>
        <v>0</v>
      </c>
      <c r="AJ20" s="37" t="n">
        <f aca="false">IF($C$13=1,MAX(0,MIN(DATE(AJ$19,12,31),$C$14)-MAX(Inputs!$C$5+1,DATE(AJ$19,1,1))+1)/365,IF(AJ$19&lt;=$C$15,(DATE(AJ$19,12,31)-MAX(Inputs!$C$5+1,DATE(AJ$19,1,1))+1)/365,0))</f>
        <v>0</v>
      </c>
      <c r="AK20" s="37" t="n">
        <f aca="false">IF($C$13=1,MAX(0,MIN(DATE(AK$19,12,31),$C$14)-MAX(Inputs!$C$5+1,DATE(AK$19,1,1))+1)/365,IF(AK$19&lt;=$C$15,(DATE(AK$19,12,31)-MAX(Inputs!$C$5+1,DATE(AK$19,1,1))+1)/365,0))</f>
        <v>0</v>
      </c>
      <c r="AL20" s="37" t="n">
        <f aca="false">IF($C$13=1,MAX(0,MIN(DATE(AL$19,12,31),$C$14)-MAX(Inputs!$C$5+1,DATE(AL$19,1,1))+1)/365,IF(AL$19&lt;=$C$15,(DATE(AL$19,12,31)-MAX(Inputs!$C$5+1,DATE(AL$19,1,1))+1)/365,0))</f>
        <v>0</v>
      </c>
      <c r="AM20" s="37" t="n">
        <f aca="false">IF($C$13=1,MAX(0,MIN(DATE(AM$19,12,31),$C$14)-MAX(Inputs!$C$5+1,DATE(AM$19,1,1))+1)/365,IF(AM$19&lt;=$C$15,(DATE(AM$19,12,31)-MAX(Inputs!$C$5+1,DATE(AM$19,1,1))+1)/365,0))</f>
        <v>0</v>
      </c>
      <c r="AN20" s="37" t="n">
        <f aca="false">IF($C$13=1,MAX(0,MIN(DATE(AN$19,12,31),$C$14)-MAX(Inputs!$C$5+1,DATE(AN$19,1,1))+1)/365,IF(AN$19&lt;=$C$15,(DATE(AN$19,12,31)-MAX(Inputs!$C$5+1,DATE(AN$19,1,1))+1)/365,0))</f>
        <v>0</v>
      </c>
      <c r="AO20" s="37" t="n">
        <f aca="false">IF($C$13=1,MAX(0,MIN(DATE(AO$19,12,31),$C$14)-MAX(Inputs!$C$5+1,DATE(AO$19,1,1))+1)/365,IF(AO$19&lt;=$C$15,(DATE(AO$19,12,31)-MAX(Inputs!$C$5+1,DATE(AO$19,1,1))+1)/365,0))</f>
        <v>0</v>
      </c>
      <c r="AP20" s="37" t="n">
        <f aca="false">IF($C$13=1,MAX(0,MIN(DATE(AP$19,12,31),$C$14)-MAX(Inputs!$C$5+1,DATE(AP$19,1,1))+1)/365,IF(AP$19&lt;=$C$15,(DATE(AP$19,12,31)-MAX(Inputs!$C$5+1,DATE(AP$19,1,1))+1)/365,0))</f>
        <v>0</v>
      </c>
      <c r="AQ20" s="37" t="n">
        <f aca="false">IF($C$13=1,MAX(0,MIN(DATE(AQ$19,12,31),$C$14)-MAX(Inputs!$C$5+1,DATE(AQ$19,1,1))+1)/365,IF(AQ$19&lt;=$C$15,(DATE(AQ$19,12,31)-MAX(Inputs!$C$5+1,DATE(AQ$19,1,1))+1)/365,0))</f>
        <v>0</v>
      </c>
      <c r="AR20" s="37" t="n">
        <f aca="false">IF($C$13=1,MAX(0,MIN(DATE(AR$19,12,31),$C$14)-MAX(Inputs!$C$5+1,DATE(AR$19,1,1))+1)/365,IF(AR$19&lt;=$C$15,(DATE(AR$19,12,31)-MAX(Inputs!$C$5+1,DATE(AR$19,1,1))+1)/365,0))</f>
        <v>0</v>
      </c>
      <c r="AS20" s="37" t="n">
        <f aca="false">IF($C$13=1,MAX(0,MIN(DATE(AS$19,12,31),$C$14)-MAX(Inputs!$C$5+1,DATE(AS$19,1,1))+1)/365,IF(AS$19&lt;=$C$15,(DATE(AS$19,12,31)-MAX(Inputs!$C$5+1,DATE(AS$19,1,1))+1)/365,0))</f>
        <v>0</v>
      </c>
      <c r="AT20" s="37" t="n">
        <f aca="false">IF($C$13=1,MAX(0,MIN(DATE(AT$19,12,31),$C$14)-MAX(Inputs!$C$5+1,DATE(AT$19,1,1))+1)/365,IF(AT$19&lt;=$C$15,(DATE(AT$19,12,31)-MAX(Inputs!$C$5+1,DATE(AT$19,1,1))+1)/365,0))</f>
        <v>0</v>
      </c>
      <c r="AU20" s="37" t="n">
        <f aca="false">IF($C$13=1,MAX(0,MIN(DATE(AU$19,12,31),$C$14)-MAX(Inputs!$C$5+1,DATE(AU$19,1,1))+1)/365,IF(AU$19&lt;=$C$15,(DATE(AU$19,12,31)-MAX(Inputs!$C$5+1,DATE(AU$19,1,1))+1)/365,0))</f>
        <v>0</v>
      </c>
      <c r="AV20" s="37" t="n">
        <f aca="false">IF($C$13=1,MAX(0,MIN(DATE(AV$19,12,31),$C$14)-MAX(Inputs!$C$5+1,DATE(AV$19,1,1))+1)/365,IF(AV$19&lt;=$C$15,(DATE(AV$19,12,31)-MAX(Inputs!$C$5+1,DATE(AV$19,1,1))+1)/365,0))</f>
        <v>0</v>
      </c>
    </row>
    <row r="21" customFormat="false" ht="15" hidden="false" customHeight="false" outlineLevel="0" collapsed="false">
      <c r="B21" s="7" t="s">
        <v>138</v>
      </c>
      <c r="D21" s="16" t="n">
        <f aca="false">$C$5*(1+$C$6)</f>
        <v>23012.52</v>
      </c>
      <c r="E21" s="16" t="n">
        <f aca="false">D21*(1+$C$7)</f>
        <v>24163.146</v>
      </c>
      <c r="F21" s="16" t="n">
        <f aca="false">E21*(1+$C$7)</f>
        <v>25371.3033</v>
      </c>
      <c r="G21" s="16" t="n">
        <f aca="false">F21*(1+$C$7)</f>
        <v>26639.868465</v>
      </c>
      <c r="H21" s="16" t="n">
        <f aca="false">G21*(1+$C$7)</f>
        <v>27971.86188825</v>
      </c>
      <c r="I21" s="16" t="n">
        <f aca="false">H21*(1+$C$7)</f>
        <v>29370.4549826625</v>
      </c>
      <c r="J21" s="16" t="n">
        <f aca="false">I21*(1+$C$7)</f>
        <v>30838.9777317956</v>
      </c>
      <c r="K21" s="16" t="n">
        <f aca="false">J21*(1+$C$7)</f>
        <v>32380.9266183854</v>
      </c>
      <c r="L21" s="16" t="n">
        <f aca="false">K21*(1+$C$7)</f>
        <v>33999.9729493047</v>
      </c>
      <c r="M21" s="16" t="n">
        <f aca="false">L21*(1+$C$7)</f>
        <v>35699.9715967699</v>
      </c>
      <c r="N21" s="16" t="n">
        <f aca="false">M21*(1+$C$7)</f>
        <v>37484.9701766084</v>
      </c>
      <c r="O21" s="16" t="n">
        <f aca="false">N21*(1+$C$7)</f>
        <v>39359.2186854389</v>
      </c>
      <c r="P21" s="16" t="n">
        <f aca="false">O21*(1+$C$7)</f>
        <v>41327.1796197108</v>
      </c>
      <c r="Q21" s="16" t="n">
        <f aca="false">P21*(1+$C$7)</f>
        <v>43393.5386006963</v>
      </c>
      <c r="R21" s="16" t="n">
        <f aca="false">Q21*(1+$C$7)</f>
        <v>45563.2155307312</v>
      </c>
      <c r="S21" s="16" t="n">
        <f aca="false">R21*(1+$C$7)</f>
        <v>47841.3763072677</v>
      </c>
      <c r="T21" s="16" t="n">
        <f aca="false">S21*(1+$C$7)</f>
        <v>50233.4451226311</v>
      </c>
      <c r="U21" s="16" t="n">
        <f aca="false">T21*(1+$C$7)</f>
        <v>52745.1173787627</v>
      </c>
      <c r="V21" s="16" t="n">
        <f aca="false">U21*(1+$C$7)</f>
        <v>55382.3732477008</v>
      </c>
      <c r="W21" s="16" t="n">
        <f aca="false">V21*(1+$C$7)</f>
        <v>58151.4919100858</v>
      </c>
      <c r="X21" s="16" t="n">
        <f aca="false">W21*(1+$C$7)</f>
        <v>61059.0665055901</v>
      </c>
      <c r="Y21" s="16" t="n">
        <f aca="false">X21*(1+$C$7)</f>
        <v>64112.0198308696</v>
      </c>
      <c r="Z21" s="16" t="n">
        <f aca="false">Y21*(1+$C$7)</f>
        <v>67317.6208224131</v>
      </c>
      <c r="AA21" s="16" t="n">
        <f aca="false">Z21*(1+$C$7)</f>
        <v>70683.5018635338</v>
      </c>
      <c r="AB21" s="16" t="n">
        <f aca="false">AA21*(1+$C$7)</f>
        <v>74217.6769567105</v>
      </c>
      <c r="AC21" s="16" t="n">
        <f aca="false">AB21*(1+$C$7)</f>
        <v>77928.560804546</v>
      </c>
      <c r="AD21" s="16" t="n">
        <f aca="false">AC21*(1+$C$7)</f>
        <v>81824.9888447733</v>
      </c>
      <c r="AE21" s="16" t="n">
        <f aca="false">AD21*(1+$C$7)</f>
        <v>85916.238287012</v>
      </c>
      <c r="AF21" s="16" t="n">
        <f aca="false">AE21*(1+$C$7)</f>
        <v>90212.0502013626</v>
      </c>
      <c r="AG21" s="16" t="n">
        <f aca="false">AF21*(1+$C$7)</f>
        <v>94722.6527114307</v>
      </c>
      <c r="AH21" s="16" t="n">
        <f aca="false">AG21*(1+$C$7)</f>
        <v>99458.7853470023</v>
      </c>
      <c r="AI21" s="16" t="n">
        <f aca="false">AH21*(1+$C$7)</f>
        <v>104431.724614352</v>
      </c>
      <c r="AJ21" s="16" t="n">
        <f aca="false">AI21*(1+$C$7)</f>
        <v>109653.31084507</v>
      </c>
      <c r="AK21" s="16" t="n">
        <f aca="false">AJ21*(1+$C$7)</f>
        <v>115135.976387324</v>
      </c>
      <c r="AL21" s="16" t="n">
        <f aca="false">AK21*(1+$C$7)</f>
        <v>120892.77520669</v>
      </c>
      <c r="AM21" s="16" t="n">
        <f aca="false">AL21*(1+$C$7)</f>
        <v>126937.413967024</v>
      </c>
      <c r="AN21" s="16" t="n">
        <f aca="false">AM21*(1+$C$7)</f>
        <v>133284.284665375</v>
      </c>
      <c r="AO21" s="16" t="n">
        <f aca="false">AN21*(1+$C$7)</f>
        <v>139948.498898644</v>
      </c>
      <c r="AP21" s="16" t="n">
        <f aca="false">AO21*(1+$C$7)</f>
        <v>146945.923843576</v>
      </c>
      <c r="AQ21" s="16" t="n">
        <f aca="false">AP21*(1+$C$7)</f>
        <v>154293.220035755</v>
      </c>
      <c r="AR21" s="16" t="n">
        <f aca="false">AQ21*(1+$C$7)</f>
        <v>162007.881037543</v>
      </c>
      <c r="AS21" s="16" t="n">
        <f aca="false">AR21*(1+$C$7)</f>
        <v>170108.27508942</v>
      </c>
      <c r="AT21" s="16" t="n">
        <f aca="false">AS21*(1+$C$7)</f>
        <v>178613.688843891</v>
      </c>
      <c r="AU21" s="16" t="n">
        <f aca="false">AT21*(1+$C$7)</f>
        <v>187544.373286086</v>
      </c>
      <c r="AV21" s="16" t="n">
        <f aca="false">AU21*(1+$C$7)</f>
        <v>196921.59195039</v>
      </c>
    </row>
    <row r="22" customFormat="false" ht="15" hidden="false" customHeight="false" outlineLevel="0" collapsed="false">
      <c r="B22" s="7" t="s">
        <v>139</v>
      </c>
      <c r="D22" s="16" t="n">
        <f aca="false">D21*$C$8</f>
        <v>2149.369368</v>
      </c>
      <c r="E22" s="16" t="n">
        <f aca="false">E21*$C$8</f>
        <v>2256.8378364</v>
      </c>
      <c r="F22" s="16" t="n">
        <f aca="false">F21*$C$8</f>
        <v>2369.67972822</v>
      </c>
      <c r="G22" s="16" t="n">
        <f aca="false">G21*$C$8</f>
        <v>2488.163714631</v>
      </c>
      <c r="H22" s="16" t="n">
        <f aca="false">H21*$C$8</f>
        <v>2612.57190036255</v>
      </c>
      <c r="I22" s="16" t="n">
        <f aca="false">I21*$C$8</f>
        <v>2743.20049538068</v>
      </c>
      <c r="J22" s="16" t="n">
        <f aca="false">J21*$C$8</f>
        <v>2880.36052014971</v>
      </c>
      <c r="K22" s="16" t="n">
        <f aca="false">K21*$C$8</f>
        <v>3024.3785461572</v>
      </c>
      <c r="L22" s="16" t="n">
        <f aca="false">L21*$C$8</f>
        <v>3175.59747346506</v>
      </c>
      <c r="M22" s="16" t="n">
        <f aca="false">M21*$C$8</f>
        <v>3334.37734713831</v>
      </c>
      <c r="N22" s="16" t="n">
        <f aca="false">N21*$C$8</f>
        <v>3501.09621449523</v>
      </c>
      <c r="O22" s="16" t="n">
        <f aca="false">O21*$C$8</f>
        <v>3676.15102521999</v>
      </c>
      <c r="P22" s="16" t="n">
        <f aca="false">P21*$C$8</f>
        <v>3859.95857648099</v>
      </c>
      <c r="Q22" s="16" t="n">
        <f aca="false">Q21*$C$8</f>
        <v>4052.95650530504</v>
      </c>
      <c r="R22" s="16" t="n">
        <f aca="false">R21*$C$8</f>
        <v>4255.60433057029</v>
      </c>
      <c r="S22" s="16" t="n">
        <f aca="false">S21*$C$8</f>
        <v>4468.3845470988</v>
      </c>
      <c r="T22" s="16" t="n">
        <f aca="false">T21*$C$8</f>
        <v>4691.80377445374</v>
      </c>
      <c r="U22" s="16" t="n">
        <f aca="false">U21*$C$8</f>
        <v>4926.39396317643</v>
      </c>
      <c r="V22" s="16" t="n">
        <f aca="false">V21*$C$8</f>
        <v>5172.71366133525</v>
      </c>
      <c r="W22" s="16" t="n">
        <f aca="false">W21*$C$8</f>
        <v>5431.34934440202</v>
      </c>
      <c r="X22" s="16" t="n">
        <f aca="false">X21*$C$8</f>
        <v>5702.91681162212</v>
      </c>
      <c r="Y22" s="16" t="n">
        <f aca="false">Y21*$C$8</f>
        <v>5988.06265220322</v>
      </c>
      <c r="Z22" s="16" t="n">
        <f aca="false">Z21*$C$8</f>
        <v>6287.46578481339</v>
      </c>
      <c r="AA22" s="16" t="n">
        <f aca="false">AA21*$C$8</f>
        <v>6601.83907405406</v>
      </c>
      <c r="AB22" s="16" t="n">
        <f aca="false">AB21*$C$8</f>
        <v>6931.93102775676</v>
      </c>
      <c r="AC22" s="16" t="n">
        <f aca="false">AC21*$C$8</f>
        <v>7278.5275791446</v>
      </c>
      <c r="AD22" s="16" t="n">
        <f aca="false">AD21*$C$8</f>
        <v>7642.45395810183</v>
      </c>
      <c r="AE22" s="16" t="n">
        <f aca="false">AE21*$C$8</f>
        <v>8024.57665600692</v>
      </c>
      <c r="AF22" s="16" t="n">
        <f aca="false">AF21*$C$8</f>
        <v>8425.80548880727</v>
      </c>
      <c r="AG22" s="16" t="n">
        <f aca="false">AG21*$C$8</f>
        <v>8847.09576324763</v>
      </c>
      <c r="AH22" s="16" t="n">
        <f aca="false">AH21*$C$8</f>
        <v>9289.45055141001</v>
      </c>
      <c r="AI22" s="16" t="n">
        <f aca="false">AI21*$C$8</f>
        <v>9753.92307898051</v>
      </c>
      <c r="AJ22" s="16" t="n">
        <f aca="false">AJ21*$C$8</f>
        <v>10241.6192329295</v>
      </c>
      <c r="AK22" s="16" t="n">
        <f aca="false">AK21*$C$8</f>
        <v>10753.700194576</v>
      </c>
      <c r="AL22" s="16" t="n">
        <f aca="false">AL21*$C$8</f>
        <v>11291.3852043048</v>
      </c>
      <c r="AM22" s="16" t="n">
        <f aca="false">AM21*$C$8</f>
        <v>11855.9544645201</v>
      </c>
      <c r="AN22" s="16" t="n">
        <f aca="false">AN21*$C$8</f>
        <v>12448.7521877461</v>
      </c>
      <c r="AO22" s="16" t="n">
        <f aca="false">AO21*$C$8</f>
        <v>13071.1897971334</v>
      </c>
      <c r="AP22" s="16" t="n">
        <f aca="false">AP21*$C$8</f>
        <v>13724.74928699</v>
      </c>
      <c r="AQ22" s="16" t="n">
        <f aca="false">AQ21*$C$8</f>
        <v>14410.9867513395</v>
      </c>
      <c r="AR22" s="16" t="n">
        <f aca="false">AR21*$C$8</f>
        <v>15131.5360889065</v>
      </c>
      <c r="AS22" s="16" t="n">
        <f aca="false">AS21*$C$8</f>
        <v>15888.1128933518</v>
      </c>
      <c r="AT22" s="16" t="n">
        <f aca="false">AT21*$C$8</f>
        <v>16682.5185380194</v>
      </c>
      <c r="AU22" s="16" t="n">
        <f aca="false">AU21*$C$8</f>
        <v>17516.6444649204</v>
      </c>
      <c r="AV22" s="16" t="n">
        <f aca="false">AV21*$C$8</f>
        <v>18392.4766881664</v>
      </c>
    </row>
    <row r="23" customFormat="false" ht="15" hidden="false" customHeight="false" outlineLevel="0" collapsed="false">
      <c r="B23" s="7" t="s">
        <v>140</v>
      </c>
      <c r="D23" s="16" t="n">
        <f aca="false">-D21*$C$9</f>
        <v>-660.459324</v>
      </c>
      <c r="E23" s="16" t="n">
        <f aca="false">-E21*$C$9</f>
        <v>-693.4822902</v>
      </c>
      <c r="F23" s="16" t="n">
        <f aca="false">-F21*$C$9</f>
        <v>-728.15640471</v>
      </c>
      <c r="G23" s="16" t="n">
        <f aca="false">-G21*$C$9</f>
        <v>-764.5642249455</v>
      </c>
      <c r="H23" s="16" t="n">
        <f aca="false">-H21*$C$9</f>
        <v>-802.792436192775</v>
      </c>
      <c r="I23" s="16" t="n">
        <f aca="false">-I21*$C$9</f>
        <v>-842.932058002414</v>
      </c>
      <c r="J23" s="16" t="n">
        <f aca="false">-J21*$C$9</f>
        <v>-885.078660902535</v>
      </c>
      <c r="K23" s="16" t="n">
        <f aca="false">-K21*$C$9</f>
        <v>-929.332593947662</v>
      </c>
      <c r="L23" s="16" t="n">
        <f aca="false">-L21*$C$9</f>
        <v>-975.799223645045</v>
      </c>
      <c r="M23" s="16" t="n">
        <f aca="false">-M21*$C$9</f>
        <v>-1024.5891848273</v>
      </c>
      <c r="N23" s="16" t="n">
        <f aca="false">-N21*$C$9</f>
        <v>-1075.81864406866</v>
      </c>
      <c r="O23" s="16" t="n">
        <f aca="false">-O21*$C$9</f>
        <v>-1129.6095762721</v>
      </c>
      <c r="P23" s="16" t="n">
        <f aca="false">-P21*$C$9</f>
        <v>-1186.0900550857</v>
      </c>
      <c r="Q23" s="16" t="n">
        <f aca="false">-Q21*$C$9</f>
        <v>-1245.39455783998</v>
      </c>
      <c r="R23" s="16" t="n">
        <f aca="false">-R21*$C$9</f>
        <v>-1307.66428573198</v>
      </c>
      <c r="S23" s="16" t="n">
        <f aca="false">-S21*$C$9</f>
        <v>-1373.04750001858</v>
      </c>
      <c r="T23" s="16" t="n">
        <f aca="false">-T21*$C$9</f>
        <v>-1441.69987501951</v>
      </c>
      <c r="U23" s="16" t="n">
        <f aca="false">-U21*$C$9</f>
        <v>-1513.78486877049</v>
      </c>
      <c r="V23" s="16" t="n">
        <f aca="false">-V21*$C$9</f>
        <v>-1589.47411220901</v>
      </c>
      <c r="W23" s="16" t="n">
        <f aca="false">-W21*$C$9</f>
        <v>-1668.94781781946</v>
      </c>
      <c r="X23" s="16" t="n">
        <f aca="false">-X21*$C$9</f>
        <v>-1752.39520871044</v>
      </c>
      <c r="Y23" s="16" t="n">
        <f aca="false">-Y21*$C$9</f>
        <v>-1840.01496914596</v>
      </c>
      <c r="Z23" s="16" t="n">
        <f aca="false">-Z21*$C$9</f>
        <v>-1932.01571760326</v>
      </c>
      <c r="AA23" s="16" t="n">
        <f aca="false">-AA21*$C$9</f>
        <v>-2028.61650348342</v>
      </c>
      <c r="AB23" s="16" t="n">
        <f aca="false">-AB21*$C$9</f>
        <v>-2130.04732865759</v>
      </c>
      <c r="AC23" s="16" t="n">
        <f aca="false">-AC21*$C$9</f>
        <v>-2236.54969509047</v>
      </c>
      <c r="AD23" s="16" t="n">
        <f aca="false">-AD21*$C$9</f>
        <v>-2348.37717984499</v>
      </c>
      <c r="AE23" s="16" t="n">
        <f aca="false">-AE21*$C$9</f>
        <v>-2465.79603883724</v>
      </c>
      <c r="AF23" s="16" t="n">
        <f aca="false">-AF21*$C$9</f>
        <v>-2589.08584077911</v>
      </c>
      <c r="AG23" s="16" t="n">
        <f aca="false">-AG21*$C$9</f>
        <v>-2718.54013281806</v>
      </c>
      <c r="AH23" s="16" t="n">
        <f aca="false">-AH21*$C$9</f>
        <v>-2854.46713945896</v>
      </c>
      <c r="AI23" s="16" t="n">
        <f aca="false">-AI21*$C$9</f>
        <v>-2997.19049643191</v>
      </c>
      <c r="AJ23" s="16" t="n">
        <f aca="false">-AJ21*$C$9</f>
        <v>-3147.05002125351</v>
      </c>
      <c r="AK23" s="16" t="n">
        <f aca="false">-AK21*$C$9</f>
        <v>-3304.40252231619</v>
      </c>
      <c r="AL23" s="16" t="n">
        <f aca="false">-AL21*$C$9</f>
        <v>-3469.62264843199</v>
      </c>
      <c r="AM23" s="16" t="n">
        <f aca="false">-AM21*$C$9</f>
        <v>-3643.10378085359</v>
      </c>
      <c r="AN23" s="16" t="n">
        <f aca="false">-AN21*$C$9</f>
        <v>-3825.25896989627</v>
      </c>
      <c r="AO23" s="16" t="n">
        <f aca="false">-AO21*$C$9</f>
        <v>-4016.52191839109</v>
      </c>
      <c r="AP23" s="16" t="n">
        <f aca="false">-AP21*$C$9</f>
        <v>-4217.34801431064</v>
      </c>
      <c r="AQ23" s="16" t="n">
        <f aca="false">-AQ21*$C$9</f>
        <v>-4428.21541502618</v>
      </c>
      <c r="AR23" s="16" t="n">
        <f aca="false">-AR21*$C$9</f>
        <v>-4649.62618577748</v>
      </c>
      <c r="AS23" s="16" t="n">
        <f aca="false">-AS21*$C$9</f>
        <v>-4882.10749506636</v>
      </c>
      <c r="AT23" s="16" t="n">
        <f aca="false">-AT21*$C$9</f>
        <v>-5126.21286981968</v>
      </c>
      <c r="AU23" s="16" t="n">
        <f aca="false">-AU21*$C$9</f>
        <v>-5382.52351331066</v>
      </c>
      <c r="AV23" s="16" t="n">
        <f aca="false">-AV21*$C$9</f>
        <v>-5651.64968897619</v>
      </c>
    </row>
    <row r="24" customFormat="false" ht="15" hidden="false" customHeight="false" outlineLevel="0" collapsed="false">
      <c r="B24" s="7" t="s">
        <v>141</v>
      </c>
      <c r="D24" s="16" t="n">
        <f aca="false">D22+D23</f>
        <v>1488.910044</v>
      </c>
      <c r="E24" s="16" t="n">
        <f aca="false">E22+E23</f>
        <v>1563.3555462</v>
      </c>
      <c r="F24" s="16" t="n">
        <f aca="false">F22+F23</f>
        <v>1641.52332351</v>
      </c>
      <c r="G24" s="16" t="n">
        <f aca="false">G22+G23</f>
        <v>1723.5994896855</v>
      </c>
      <c r="H24" s="16" t="n">
        <f aca="false">H22+H23</f>
        <v>1809.77946416978</v>
      </c>
      <c r="I24" s="16" t="n">
        <f aca="false">I22+I23</f>
        <v>1900.26843737826</v>
      </c>
      <c r="J24" s="16" t="n">
        <f aca="false">J22+J23</f>
        <v>1995.28185924718</v>
      </c>
      <c r="K24" s="16" t="n">
        <f aca="false">K22+K23</f>
        <v>2095.04595220954</v>
      </c>
      <c r="L24" s="16" t="n">
        <f aca="false">L22+L23</f>
        <v>2199.79824982001</v>
      </c>
      <c r="M24" s="16" t="n">
        <f aca="false">M22+M23</f>
        <v>2309.78816231101</v>
      </c>
      <c r="N24" s="16" t="n">
        <f aca="false">N22+N23</f>
        <v>2425.27757042657</v>
      </c>
      <c r="O24" s="16" t="n">
        <f aca="false">O22+O23</f>
        <v>2546.54144894789</v>
      </c>
      <c r="P24" s="16" t="n">
        <f aca="false">P22+P23</f>
        <v>2673.86852139529</v>
      </c>
      <c r="Q24" s="16" t="n">
        <f aca="false">Q22+Q23</f>
        <v>2807.56194746505</v>
      </c>
      <c r="R24" s="16" t="n">
        <f aca="false">R22+R23</f>
        <v>2947.94004483831</v>
      </c>
      <c r="S24" s="16" t="n">
        <f aca="false">S22+S23</f>
        <v>3095.33704708022</v>
      </c>
      <c r="T24" s="16" t="n">
        <f aca="false">T22+T23</f>
        <v>3250.10389943423</v>
      </c>
      <c r="U24" s="16" t="n">
        <f aca="false">U22+U23</f>
        <v>3412.60909440594</v>
      </c>
      <c r="V24" s="16" t="n">
        <f aca="false">V22+V23</f>
        <v>3583.23954912624</v>
      </c>
      <c r="W24" s="16" t="n">
        <f aca="false">W22+W23</f>
        <v>3762.40152658255</v>
      </c>
      <c r="X24" s="16" t="n">
        <f aca="false">X22+X23</f>
        <v>3950.52160291168</v>
      </c>
      <c r="Y24" s="16" t="n">
        <f aca="false">Y22+Y23</f>
        <v>4148.04768305727</v>
      </c>
      <c r="Z24" s="16" t="n">
        <f aca="false">Z22+Z23</f>
        <v>4355.45006721013</v>
      </c>
      <c r="AA24" s="16" t="n">
        <f aca="false">AA22+AA23</f>
        <v>4573.22257057064</v>
      </c>
      <c r="AB24" s="16" t="n">
        <f aca="false">AB22+AB23</f>
        <v>4801.88369909917</v>
      </c>
      <c r="AC24" s="16" t="n">
        <f aca="false">AC22+AC23</f>
        <v>5041.97788405413</v>
      </c>
      <c r="AD24" s="16" t="n">
        <f aca="false">AD22+AD23</f>
        <v>5294.07677825683</v>
      </c>
      <c r="AE24" s="16" t="n">
        <f aca="false">AE22+AE23</f>
        <v>5558.78061716968</v>
      </c>
      <c r="AF24" s="16" t="n">
        <f aca="false">AF22+AF23</f>
        <v>5836.71964802816</v>
      </c>
      <c r="AG24" s="16" t="n">
        <f aca="false">AG22+AG23</f>
        <v>6128.55563042957</v>
      </c>
      <c r="AH24" s="16" t="n">
        <f aca="false">AH22+AH23</f>
        <v>6434.98341195105</v>
      </c>
      <c r="AI24" s="16" t="n">
        <f aca="false">AI22+AI23</f>
        <v>6756.7325825486</v>
      </c>
      <c r="AJ24" s="16" t="n">
        <f aca="false">AJ22+AJ23</f>
        <v>7094.56921167603</v>
      </c>
      <c r="AK24" s="16" t="n">
        <f aca="false">AK22+AK23</f>
        <v>7449.29767225983</v>
      </c>
      <c r="AL24" s="16" t="n">
        <f aca="false">AL22+AL23</f>
        <v>7821.76255587282</v>
      </c>
      <c r="AM24" s="16" t="n">
        <f aca="false">AM22+AM23</f>
        <v>8212.85068366646</v>
      </c>
      <c r="AN24" s="16" t="n">
        <f aca="false">AN22+AN23</f>
        <v>8623.49321784979</v>
      </c>
      <c r="AO24" s="16" t="n">
        <f aca="false">AO22+AO23</f>
        <v>9054.66787874228</v>
      </c>
      <c r="AP24" s="16" t="n">
        <f aca="false">AP22+AP23</f>
        <v>9507.40127267939</v>
      </c>
      <c r="AQ24" s="16" t="n">
        <f aca="false">AQ22+AQ23</f>
        <v>9982.77133631336</v>
      </c>
      <c r="AR24" s="16" t="n">
        <f aca="false">AR22+AR23</f>
        <v>10481.909903129</v>
      </c>
      <c r="AS24" s="16" t="n">
        <f aca="false">AS22+AS23</f>
        <v>11006.0053982855</v>
      </c>
      <c r="AT24" s="16" t="n">
        <f aca="false">AT22+AT23</f>
        <v>11556.3056681998</v>
      </c>
      <c r="AU24" s="16" t="n">
        <f aca="false">AU22+AU23</f>
        <v>12134.1209516097</v>
      </c>
      <c r="AV24" s="16" t="n">
        <f aca="false">AV22+AV23</f>
        <v>12740.8269991902</v>
      </c>
    </row>
    <row r="25" customFormat="false" ht="15" hidden="false" customHeight="false" outlineLevel="0" collapsed="false">
      <c r="B25" s="7" t="s">
        <v>142</v>
      </c>
      <c r="D25" s="8" t="n">
        <f aca="false">IF(D$19=2026,Inputs!$C$10,Inputs!$C$11)</f>
        <v>0.348</v>
      </c>
      <c r="E25" s="8" t="n">
        <f aca="false">IF(E$19=2026,Inputs!$C$10,Inputs!$C$11)</f>
        <v>0.258</v>
      </c>
      <c r="F25" s="8" t="n">
        <f aca="false">IF(F$19=2026,Inputs!$C$10,Inputs!$C$11)</f>
        <v>0.258</v>
      </c>
      <c r="G25" s="8" t="n">
        <f aca="false">IF(G$19=2026,Inputs!$C$10,Inputs!$C$11)</f>
        <v>0.258</v>
      </c>
      <c r="H25" s="8" t="n">
        <f aca="false">IF(H$19=2026,Inputs!$C$10,Inputs!$C$11)</f>
        <v>0.258</v>
      </c>
      <c r="I25" s="8" t="n">
        <f aca="false">IF(I$19=2026,Inputs!$C$10,Inputs!$C$11)</f>
        <v>0.258</v>
      </c>
      <c r="J25" s="8" t="n">
        <f aca="false">IF(J$19=2026,Inputs!$C$10,Inputs!$C$11)</f>
        <v>0.258</v>
      </c>
      <c r="K25" s="8" t="n">
        <f aca="false">IF(K$19=2026,Inputs!$C$10,Inputs!$C$11)</f>
        <v>0.258</v>
      </c>
      <c r="L25" s="8" t="n">
        <f aca="false">IF(L$19=2026,Inputs!$C$10,Inputs!$C$11)</f>
        <v>0.258</v>
      </c>
      <c r="M25" s="8" t="n">
        <f aca="false">IF(M$19=2026,Inputs!$C$10,Inputs!$C$11)</f>
        <v>0.258</v>
      </c>
      <c r="N25" s="8" t="n">
        <f aca="false">IF(N$19=2026,Inputs!$C$10,Inputs!$C$11)</f>
        <v>0.258</v>
      </c>
      <c r="O25" s="8" t="n">
        <f aca="false">IF(O$19=2026,Inputs!$C$10,Inputs!$C$11)</f>
        <v>0.258</v>
      </c>
      <c r="P25" s="8" t="n">
        <f aca="false">IF(P$19=2026,Inputs!$C$10,Inputs!$C$11)</f>
        <v>0.258</v>
      </c>
      <c r="Q25" s="8" t="n">
        <f aca="false">IF(Q$19=2026,Inputs!$C$10,Inputs!$C$11)</f>
        <v>0.258</v>
      </c>
      <c r="R25" s="8" t="n">
        <f aca="false">IF(R$19=2026,Inputs!$C$10,Inputs!$C$11)</f>
        <v>0.258</v>
      </c>
      <c r="S25" s="8" t="n">
        <f aca="false">IF(S$19=2026,Inputs!$C$10,Inputs!$C$11)</f>
        <v>0.258</v>
      </c>
      <c r="T25" s="8" t="n">
        <f aca="false">IF(T$19=2026,Inputs!$C$10,Inputs!$C$11)</f>
        <v>0.258</v>
      </c>
      <c r="U25" s="8" t="n">
        <f aca="false">IF(U$19=2026,Inputs!$C$10,Inputs!$C$11)</f>
        <v>0.258</v>
      </c>
      <c r="V25" s="8" t="n">
        <f aca="false">IF(V$19=2026,Inputs!$C$10,Inputs!$C$11)</f>
        <v>0.258</v>
      </c>
      <c r="W25" s="8" t="n">
        <f aca="false">IF(W$19=2026,Inputs!$C$10,Inputs!$C$11)</f>
        <v>0.258</v>
      </c>
      <c r="X25" s="8" t="n">
        <f aca="false">IF(X$19=2026,Inputs!$C$10,Inputs!$C$11)</f>
        <v>0.258</v>
      </c>
      <c r="Y25" s="8" t="n">
        <f aca="false">IF(Y$19=2026,Inputs!$C$10,Inputs!$C$11)</f>
        <v>0.258</v>
      </c>
      <c r="Z25" s="8" t="n">
        <f aca="false">IF(Z$19=2026,Inputs!$C$10,Inputs!$C$11)</f>
        <v>0.258</v>
      </c>
      <c r="AA25" s="8" t="n">
        <f aca="false">IF(AA$19=2026,Inputs!$C$10,Inputs!$C$11)</f>
        <v>0.258</v>
      </c>
      <c r="AB25" s="8" t="n">
        <f aca="false">IF(AB$19=2026,Inputs!$C$10,Inputs!$C$11)</f>
        <v>0.258</v>
      </c>
      <c r="AC25" s="8" t="n">
        <f aca="false">IF(AC$19=2026,Inputs!$C$10,Inputs!$C$11)</f>
        <v>0.258</v>
      </c>
      <c r="AD25" s="8" t="n">
        <f aca="false">IF(AD$19=2026,Inputs!$C$10,Inputs!$C$11)</f>
        <v>0.258</v>
      </c>
      <c r="AE25" s="8" t="n">
        <f aca="false">IF(AE$19=2026,Inputs!$C$10,Inputs!$C$11)</f>
        <v>0.258</v>
      </c>
      <c r="AF25" s="8" t="n">
        <f aca="false">IF(AF$19=2026,Inputs!$C$10,Inputs!$C$11)</f>
        <v>0.258</v>
      </c>
      <c r="AG25" s="8" t="n">
        <f aca="false">IF(AG$19=2026,Inputs!$C$10,Inputs!$C$11)</f>
        <v>0.258</v>
      </c>
      <c r="AH25" s="8" t="n">
        <f aca="false">IF(AH$19=2026,Inputs!$C$10,Inputs!$C$11)</f>
        <v>0.258</v>
      </c>
      <c r="AI25" s="8" t="n">
        <f aca="false">IF(AI$19=2026,Inputs!$C$10,Inputs!$C$11)</f>
        <v>0.258</v>
      </c>
      <c r="AJ25" s="8" t="n">
        <f aca="false">IF(AJ$19=2026,Inputs!$C$10,Inputs!$C$11)</f>
        <v>0.258</v>
      </c>
      <c r="AK25" s="8" t="n">
        <f aca="false">IF(AK$19=2026,Inputs!$C$10,Inputs!$C$11)</f>
        <v>0.258</v>
      </c>
      <c r="AL25" s="8" t="n">
        <f aca="false">IF(AL$19=2026,Inputs!$C$10,Inputs!$C$11)</f>
        <v>0.258</v>
      </c>
      <c r="AM25" s="8" t="n">
        <f aca="false">IF(AM$19=2026,Inputs!$C$10,Inputs!$C$11)</f>
        <v>0.258</v>
      </c>
      <c r="AN25" s="8" t="n">
        <f aca="false">IF(AN$19=2026,Inputs!$C$10,Inputs!$C$11)</f>
        <v>0.258</v>
      </c>
      <c r="AO25" s="8" t="n">
        <f aca="false">IF(AO$19=2026,Inputs!$C$10,Inputs!$C$11)</f>
        <v>0.258</v>
      </c>
      <c r="AP25" s="8" t="n">
        <f aca="false">IF(AP$19=2026,Inputs!$C$10,Inputs!$C$11)</f>
        <v>0.258</v>
      </c>
      <c r="AQ25" s="8" t="n">
        <f aca="false">IF(AQ$19=2026,Inputs!$C$10,Inputs!$C$11)</f>
        <v>0.258</v>
      </c>
      <c r="AR25" s="8" t="n">
        <f aca="false">IF(AR$19=2026,Inputs!$C$10,Inputs!$C$11)</f>
        <v>0.258</v>
      </c>
      <c r="AS25" s="8" t="n">
        <f aca="false">IF(AS$19=2026,Inputs!$C$10,Inputs!$C$11)</f>
        <v>0.258</v>
      </c>
      <c r="AT25" s="8" t="n">
        <f aca="false">IF(AT$19=2026,Inputs!$C$10,Inputs!$C$11)</f>
        <v>0.258</v>
      </c>
      <c r="AU25" s="8" t="n">
        <f aca="false">IF(AU$19=2026,Inputs!$C$10,Inputs!$C$11)</f>
        <v>0.258</v>
      </c>
      <c r="AV25" s="8" t="n">
        <f aca="false">IF(AV$19=2026,Inputs!$C$10,Inputs!$C$11)</f>
        <v>0.258</v>
      </c>
    </row>
    <row r="26" customFormat="false" ht="15" hidden="false" customHeight="false" outlineLevel="0" collapsed="false">
      <c r="B26" s="7" t="s">
        <v>143</v>
      </c>
      <c r="D26" s="16" t="n">
        <f aca="false">-MAX(0,D24)*D25</f>
        <v>-518.140695312</v>
      </c>
      <c r="E26" s="16" t="n">
        <f aca="false">-MAX(0,E24)*E25</f>
        <v>-403.3457309196</v>
      </c>
      <c r="F26" s="16" t="n">
        <f aca="false">-MAX(0,F24)*F25</f>
        <v>-423.51301746558</v>
      </c>
      <c r="G26" s="16" t="n">
        <f aca="false">-MAX(0,G24)*G25</f>
        <v>-444.688668338859</v>
      </c>
      <c r="H26" s="16" t="n">
        <f aca="false">-MAX(0,H24)*H25</f>
        <v>-466.923101755802</v>
      </c>
      <c r="I26" s="16" t="n">
        <f aca="false">-MAX(0,I24)*I25</f>
        <v>-490.269256843592</v>
      </c>
      <c r="J26" s="16" t="n">
        <f aca="false">-MAX(0,J24)*J25</f>
        <v>-514.782719685772</v>
      </c>
      <c r="K26" s="16" t="n">
        <f aca="false">-MAX(0,K24)*K25</f>
        <v>-540.52185567006</v>
      </c>
      <c r="L26" s="16" t="n">
        <f aca="false">-MAX(0,L24)*L25</f>
        <v>-567.547948453564</v>
      </c>
      <c r="M26" s="16" t="n">
        <f aca="false">-MAX(0,M24)*M25</f>
        <v>-595.925345876242</v>
      </c>
      <c r="N26" s="16" t="n">
        <f aca="false">-MAX(0,N24)*N25</f>
        <v>-625.721613170054</v>
      </c>
      <c r="O26" s="16" t="n">
        <f aca="false">-MAX(0,O24)*O25</f>
        <v>-657.007693828557</v>
      </c>
      <c r="P26" s="16" t="n">
        <f aca="false">-MAX(0,P24)*P25</f>
        <v>-689.858078519984</v>
      </c>
      <c r="Q26" s="16" t="n">
        <f aca="false">-MAX(0,Q24)*Q25</f>
        <v>-724.350982445984</v>
      </c>
      <c r="R26" s="16" t="n">
        <f aca="false">-MAX(0,R24)*R25</f>
        <v>-760.568531568283</v>
      </c>
      <c r="S26" s="16" t="n">
        <f aca="false">-MAX(0,S24)*S25</f>
        <v>-798.596958146697</v>
      </c>
      <c r="T26" s="16" t="n">
        <f aca="false">-MAX(0,T24)*T25</f>
        <v>-838.526806054032</v>
      </c>
      <c r="U26" s="16" t="n">
        <f aca="false">-MAX(0,U24)*U25</f>
        <v>-880.453146356733</v>
      </c>
      <c r="V26" s="16" t="n">
        <f aca="false">-MAX(0,V24)*V25</f>
        <v>-924.47580367457</v>
      </c>
      <c r="W26" s="16" t="n">
        <f aca="false">-MAX(0,W24)*W25</f>
        <v>-970.699593858299</v>
      </c>
      <c r="X26" s="16" t="n">
        <f aca="false">-MAX(0,X24)*X25</f>
        <v>-1019.23457355121</v>
      </c>
      <c r="Y26" s="16" t="n">
        <f aca="false">-MAX(0,Y24)*Y25</f>
        <v>-1070.19630222877</v>
      </c>
      <c r="Z26" s="16" t="n">
        <f aca="false">-MAX(0,Z24)*Z25</f>
        <v>-1123.70611734021</v>
      </c>
      <c r="AA26" s="16" t="n">
        <f aca="false">-MAX(0,AA24)*AA25</f>
        <v>-1179.89142320722</v>
      </c>
      <c r="AB26" s="16" t="n">
        <f aca="false">-MAX(0,AB24)*AB25</f>
        <v>-1238.88599436759</v>
      </c>
      <c r="AC26" s="16" t="n">
        <f aca="false">-MAX(0,AC24)*AC25</f>
        <v>-1300.83029408596</v>
      </c>
      <c r="AD26" s="16" t="n">
        <f aca="false">-MAX(0,AD24)*AD25</f>
        <v>-1365.87180879026</v>
      </c>
      <c r="AE26" s="16" t="n">
        <f aca="false">-MAX(0,AE24)*AE25</f>
        <v>-1434.16539922978</v>
      </c>
      <c r="AF26" s="16" t="n">
        <f aca="false">-MAX(0,AF24)*AF25</f>
        <v>-1505.87366919127</v>
      </c>
      <c r="AG26" s="16" t="n">
        <f aca="false">-MAX(0,AG24)*AG25</f>
        <v>-1581.16735265083</v>
      </c>
      <c r="AH26" s="16" t="n">
        <f aca="false">-MAX(0,AH24)*AH25</f>
        <v>-1660.22572028337</v>
      </c>
      <c r="AI26" s="16" t="n">
        <f aca="false">-MAX(0,AI24)*AI25</f>
        <v>-1743.23700629754</v>
      </c>
      <c r="AJ26" s="16" t="n">
        <f aca="false">-MAX(0,AJ24)*AJ25</f>
        <v>-1830.39885661242</v>
      </c>
      <c r="AK26" s="16" t="n">
        <f aca="false">-MAX(0,AK24)*AK25</f>
        <v>-1921.91879944304</v>
      </c>
      <c r="AL26" s="16" t="n">
        <f aca="false">-MAX(0,AL24)*AL25</f>
        <v>-2018.01473941519</v>
      </c>
      <c r="AM26" s="16" t="n">
        <f aca="false">-MAX(0,AM24)*AM25</f>
        <v>-2118.91547638595</v>
      </c>
      <c r="AN26" s="16" t="n">
        <f aca="false">-MAX(0,AN24)*AN25</f>
        <v>-2224.86125020525</v>
      </c>
      <c r="AO26" s="16" t="n">
        <f aca="false">-MAX(0,AO24)*AO25</f>
        <v>-2336.10431271551</v>
      </c>
      <c r="AP26" s="16" t="n">
        <f aca="false">-MAX(0,AP24)*AP25</f>
        <v>-2452.90952835128</v>
      </c>
      <c r="AQ26" s="16" t="n">
        <f aca="false">-MAX(0,AQ24)*AQ25</f>
        <v>-2575.55500476885</v>
      </c>
      <c r="AR26" s="16" t="n">
        <f aca="false">-MAX(0,AR24)*AR25</f>
        <v>-2704.33275500729</v>
      </c>
      <c r="AS26" s="16" t="n">
        <f aca="false">-MAX(0,AS24)*AS25</f>
        <v>-2839.54939275765</v>
      </c>
      <c r="AT26" s="16" t="n">
        <f aca="false">-MAX(0,AT24)*AT25</f>
        <v>-2981.52686239554</v>
      </c>
      <c r="AU26" s="16" t="n">
        <f aca="false">-MAX(0,AU24)*AU25</f>
        <v>-3130.60320551531</v>
      </c>
      <c r="AV26" s="16" t="n">
        <f aca="false">-MAX(0,AV24)*AV25</f>
        <v>-3287.13336579108</v>
      </c>
    </row>
    <row r="27" customFormat="false" ht="15" hidden="false" customHeight="false" outlineLevel="0" collapsed="false">
      <c r="B27" s="7" t="s">
        <v>144</v>
      </c>
      <c r="D27" s="16" t="n">
        <f aca="false">-D21*$C$10</f>
        <v>-299.16276</v>
      </c>
      <c r="E27" s="16" t="n">
        <f aca="false">-E21*$C$10</f>
        <v>-314.120898</v>
      </c>
      <c r="F27" s="16" t="n">
        <f aca="false">-F21*$C$10</f>
        <v>-329.8269429</v>
      </c>
      <c r="G27" s="16" t="n">
        <f aca="false">-G21*$C$10</f>
        <v>-346.318290045</v>
      </c>
      <c r="H27" s="16" t="n">
        <f aca="false">-H21*$C$10</f>
        <v>-363.63420454725</v>
      </c>
      <c r="I27" s="16" t="n">
        <f aca="false">-I21*$C$10</f>
        <v>-381.815914774613</v>
      </c>
      <c r="J27" s="16" t="n">
        <f aca="false">-J21*$C$10</f>
        <v>-400.906710513343</v>
      </c>
      <c r="K27" s="16" t="n">
        <f aca="false">-K21*$C$10</f>
        <v>-420.95204603901</v>
      </c>
      <c r="L27" s="16" t="n">
        <f aca="false">-L21*$C$10</f>
        <v>-441.999648340961</v>
      </c>
      <c r="M27" s="16" t="n">
        <f aca="false">-M21*$C$10</f>
        <v>-464.099630758009</v>
      </c>
      <c r="N27" s="16" t="n">
        <f aca="false">-N21*$C$10</f>
        <v>-487.30461229591</v>
      </c>
      <c r="O27" s="16" t="n">
        <f aca="false">-O21*$C$10</f>
        <v>-511.669842910705</v>
      </c>
      <c r="P27" s="16" t="n">
        <f aca="false">-P21*$C$10</f>
        <v>-537.25333505624</v>
      </c>
      <c r="Q27" s="16" t="n">
        <f aca="false">-Q21*$C$10</f>
        <v>-564.116001809052</v>
      </c>
      <c r="R27" s="16" t="n">
        <f aca="false">-R21*$C$10</f>
        <v>-592.321801899505</v>
      </c>
      <c r="S27" s="16" t="n">
        <f aca="false">-S21*$C$10</f>
        <v>-621.93789199448</v>
      </c>
      <c r="T27" s="16" t="n">
        <f aca="false">-T21*$C$10</f>
        <v>-653.034786594204</v>
      </c>
      <c r="U27" s="16" t="n">
        <f aca="false">-U21*$C$10</f>
        <v>-685.686525923915</v>
      </c>
      <c r="V27" s="16" t="n">
        <f aca="false">-V21*$C$10</f>
        <v>-719.97085222011</v>
      </c>
      <c r="W27" s="16" t="n">
        <f aca="false">-W21*$C$10</f>
        <v>-755.969394831116</v>
      </c>
      <c r="X27" s="16" t="n">
        <f aca="false">-X21*$C$10</f>
        <v>-793.767864572672</v>
      </c>
      <c r="Y27" s="16" t="n">
        <f aca="false">-Y21*$C$10</f>
        <v>-833.456257801305</v>
      </c>
      <c r="Z27" s="16" t="n">
        <f aca="false">-Z21*$C$10</f>
        <v>-875.129070691371</v>
      </c>
      <c r="AA27" s="16" t="n">
        <f aca="false">-AA21*$C$10</f>
        <v>-918.885524225939</v>
      </c>
      <c r="AB27" s="16" t="n">
        <f aca="false">-AB21*$C$10</f>
        <v>-964.829800437236</v>
      </c>
      <c r="AC27" s="16" t="n">
        <f aca="false">-AC21*$C$10</f>
        <v>-1013.0712904591</v>
      </c>
      <c r="AD27" s="16" t="n">
        <f aca="false">-AD21*$C$10</f>
        <v>-1063.72485498205</v>
      </c>
      <c r="AE27" s="16" t="n">
        <f aca="false">-AE21*$C$10</f>
        <v>-1116.91109773116</v>
      </c>
      <c r="AF27" s="16" t="n">
        <f aca="false">-AF21*$C$10</f>
        <v>-1172.75665261771</v>
      </c>
      <c r="AG27" s="16" t="n">
        <f aca="false">-AG21*$C$10</f>
        <v>-1231.3944852486</v>
      </c>
      <c r="AH27" s="16" t="n">
        <f aca="false">-AH21*$C$10</f>
        <v>-1292.96420951103</v>
      </c>
      <c r="AI27" s="16" t="n">
        <f aca="false">-AI21*$C$10</f>
        <v>-1357.61241998658</v>
      </c>
      <c r="AJ27" s="16" t="n">
        <f aca="false">-AJ21*$C$10</f>
        <v>-1425.49304098591</v>
      </c>
      <c r="AK27" s="16" t="n">
        <f aca="false">-AK21*$C$10</f>
        <v>-1496.76769303521</v>
      </c>
      <c r="AL27" s="16" t="n">
        <f aca="false">-AL21*$C$10</f>
        <v>-1571.60607768697</v>
      </c>
      <c r="AM27" s="16" t="n">
        <f aca="false">-AM21*$C$10</f>
        <v>-1650.18638157131</v>
      </c>
      <c r="AN27" s="16" t="n">
        <f aca="false">-AN21*$C$10</f>
        <v>-1732.69570064988</v>
      </c>
      <c r="AO27" s="16" t="n">
        <f aca="false">-AO21*$C$10</f>
        <v>-1819.33048568237</v>
      </c>
      <c r="AP27" s="16" t="n">
        <f aca="false">-AP21*$C$10</f>
        <v>-1910.29700996649</v>
      </c>
      <c r="AQ27" s="16" t="n">
        <f aca="false">-AQ21*$C$10</f>
        <v>-2005.81186046482</v>
      </c>
      <c r="AR27" s="16" t="n">
        <f aca="false">-AR21*$C$10</f>
        <v>-2106.10245348806</v>
      </c>
      <c r="AS27" s="16" t="n">
        <f aca="false">-AS21*$C$10</f>
        <v>-2211.40757616246</v>
      </c>
      <c r="AT27" s="16" t="n">
        <f aca="false">-AT21*$C$10</f>
        <v>-2321.97795497058</v>
      </c>
      <c r="AU27" s="16" t="n">
        <f aca="false">-AU21*$C$10</f>
        <v>-2438.07685271911</v>
      </c>
      <c r="AV27" s="16" t="n">
        <f aca="false">-AV21*$C$10</f>
        <v>-2559.98069535507</v>
      </c>
    </row>
    <row r="28" customFormat="false" ht="15" hidden="false" customHeight="false" outlineLevel="0" collapsed="false">
      <c r="B28" s="7" t="s">
        <v>145</v>
      </c>
      <c r="D28" s="16" t="n">
        <f aca="false">-D21*$C$11</f>
        <v>-474.057912</v>
      </c>
      <c r="E28" s="16" t="n">
        <f aca="false">-E21*$C$11</f>
        <v>-497.7608076</v>
      </c>
      <c r="F28" s="16" t="n">
        <f aca="false">-F21*$C$11</f>
        <v>-522.64884798</v>
      </c>
      <c r="G28" s="16" t="n">
        <f aca="false">-G21*$C$11</f>
        <v>-548.781290379</v>
      </c>
      <c r="H28" s="16" t="n">
        <f aca="false">-H21*$C$11</f>
        <v>-576.22035489795</v>
      </c>
      <c r="I28" s="16" t="n">
        <f aca="false">-I21*$C$11</f>
        <v>-605.031372642848</v>
      </c>
      <c r="J28" s="16" t="n">
        <f aca="false">-J21*$C$11</f>
        <v>-635.28294127499</v>
      </c>
      <c r="K28" s="16" t="n">
        <f aca="false">-K21*$C$11</f>
        <v>-667.04708833874</v>
      </c>
      <c r="L28" s="16" t="n">
        <f aca="false">-L21*$C$11</f>
        <v>-700.399442755677</v>
      </c>
      <c r="M28" s="16" t="n">
        <f aca="false">-M21*$C$11</f>
        <v>-735.419414893461</v>
      </c>
      <c r="N28" s="16" t="n">
        <f aca="false">-N21*$C$11</f>
        <v>-772.190385638134</v>
      </c>
      <c r="O28" s="16" t="n">
        <f aca="false">-O21*$C$11</f>
        <v>-810.79990492004</v>
      </c>
      <c r="P28" s="16" t="n">
        <f aca="false">-P21*$C$11</f>
        <v>-851.339900166042</v>
      </c>
      <c r="Q28" s="16" t="n">
        <f aca="false">-Q21*$C$11</f>
        <v>-893.906895174344</v>
      </c>
      <c r="R28" s="16" t="n">
        <f aca="false">-R21*$C$11</f>
        <v>-938.602239933062</v>
      </c>
      <c r="S28" s="16" t="n">
        <f aca="false">-S21*$C$11</f>
        <v>-985.532351929715</v>
      </c>
      <c r="T28" s="16" t="n">
        <f aca="false">-T21*$C$11</f>
        <v>-1034.8089695262</v>
      </c>
      <c r="U28" s="16" t="n">
        <f aca="false">-U21*$C$11</f>
        <v>-1086.54941800251</v>
      </c>
      <c r="V28" s="16" t="n">
        <f aca="false">-V21*$C$11</f>
        <v>-1140.87688890264</v>
      </c>
      <c r="W28" s="16" t="n">
        <f aca="false">-W21*$C$11</f>
        <v>-1197.92073334777</v>
      </c>
      <c r="X28" s="16" t="n">
        <f aca="false">-X21*$C$11</f>
        <v>-1257.81677001516</v>
      </c>
      <c r="Y28" s="16" t="n">
        <f aca="false">-Y21*$C$11</f>
        <v>-1320.70760851591</v>
      </c>
      <c r="Z28" s="16" t="n">
        <f aca="false">-Z21*$C$11</f>
        <v>-1386.74298894171</v>
      </c>
      <c r="AA28" s="16" t="n">
        <f aca="false">-AA21*$C$11</f>
        <v>-1456.0801383888</v>
      </c>
      <c r="AB28" s="16" t="n">
        <f aca="false">-AB21*$C$11</f>
        <v>-1528.88414530824</v>
      </c>
      <c r="AC28" s="16" t="n">
        <f aca="false">-AC21*$C$11</f>
        <v>-1605.32835257365</v>
      </c>
      <c r="AD28" s="16" t="n">
        <f aca="false">-AD21*$C$11</f>
        <v>-1685.59477020233</v>
      </c>
      <c r="AE28" s="16" t="n">
        <f aca="false">-AE21*$C$11</f>
        <v>-1769.87450871245</v>
      </c>
      <c r="AF28" s="16" t="n">
        <f aca="false">-AF21*$C$11</f>
        <v>-1858.36823414807</v>
      </c>
      <c r="AG28" s="16" t="n">
        <f aca="false">-AG21*$C$11</f>
        <v>-1951.28664585547</v>
      </c>
      <c r="AH28" s="16" t="n">
        <f aca="false">-AH21*$C$11</f>
        <v>-2048.85097814825</v>
      </c>
      <c r="AI28" s="16" t="n">
        <f aca="false">-AI21*$C$11</f>
        <v>-2151.29352705566</v>
      </c>
      <c r="AJ28" s="16" t="n">
        <f aca="false">-AJ21*$C$11</f>
        <v>-2258.85820340844</v>
      </c>
      <c r="AK28" s="16" t="n">
        <f aca="false">-AK21*$C$11</f>
        <v>-2371.80111357886</v>
      </c>
      <c r="AL28" s="16" t="n">
        <f aca="false">-AL21*$C$11</f>
        <v>-2490.39116925781</v>
      </c>
      <c r="AM28" s="16" t="n">
        <f aca="false">-AM21*$C$11</f>
        <v>-2614.9107277207</v>
      </c>
      <c r="AN28" s="16" t="n">
        <f aca="false">-AN21*$C$11</f>
        <v>-2745.65626410673</v>
      </c>
      <c r="AO28" s="16" t="n">
        <f aca="false">-AO21*$C$11</f>
        <v>-2882.93907731207</v>
      </c>
      <c r="AP28" s="16" t="n">
        <f aca="false">-AP21*$C$11</f>
        <v>-3027.08603117767</v>
      </c>
      <c r="AQ28" s="16" t="n">
        <f aca="false">-AQ21*$C$11</f>
        <v>-3178.44033273656</v>
      </c>
      <c r="AR28" s="16" t="n">
        <f aca="false">-AR21*$C$11</f>
        <v>-3337.36234937339</v>
      </c>
      <c r="AS28" s="16" t="n">
        <f aca="false">-AS21*$C$11</f>
        <v>-3504.23046684205</v>
      </c>
      <c r="AT28" s="16" t="n">
        <f aca="false">-AT21*$C$11</f>
        <v>-3679.44199018416</v>
      </c>
      <c r="AU28" s="16" t="n">
        <f aca="false">-AU21*$C$11</f>
        <v>-3863.41408969337</v>
      </c>
      <c r="AV28" s="16" t="n">
        <f aca="false">-AV21*$C$11</f>
        <v>-4056.58479417803</v>
      </c>
    </row>
    <row r="29" customFormat="false" ht="15" hidden="false" customHeight="false" outlineLevel="0" collapsed="false">
      <c r="B29" s="12" t="s">
        <v>146</v>
      </c>
      <c r="D29" s="38" t="n">
        <f aca="false">(D22+D26+D27+D28)*D20</f>
        <v>432.5300606208</v>
      </c>
      <c r="E29" s="38" t="n">
        <f aca="false">(E22+E26+E27+E28)*E20</f>
        <v>1041.6103998804</v>
      </c>
      <c r="F29" s="38" t="n">
        <f aca="false">(F22+F26+F27+F28)*F20</f>
        <v>1096.68733335353</v>
      </c>
      <c r="G29" s="38" t="n">
        <f aca="false">(G22+G26+G27+G28)*G20</f>
        <v>1148.37546586814</v>
      </c>
      <c r="H29" s="38" t="n">
        <f aca="false">(H22+H26+H27+H28)*H20</f>
        <v>1205.79423916155</v>
      </c>
      <c r="I29" s="38" t="n">
        <f aca="false">(I22+I26+I27+I28)*I20</f>
        <v>0</v>
      </c>
      <c r="J29" s="38" t="n">
        <f aca="false">(J22+J26+J27+J28)*J20</f>
        <v>0</v>
      </c>
      <c r="K29" s="38" t="n">
        <f aca="false">(K22+K26+K27+K28)*K20</f>
        <v>0</v>
      </c>
      <c r="L29" s="38" t="n">
        <f aca="false">(L22+L26+L27+L28)*L20</f>
        <v>0</v>
      </c>
      <c r="M29" s="38" t="n">
        <f aca="false">(M22+M26+M27+M28)*M20</f>
        <v>0</v>
      </c>
      <c r="N29" s="38" t="n">
        <f aca="false">(N22+N26+N27+N28)*N20</f>
        <v>0</v>
      </c>
      <c r="O29" s="38" t="n">
        <f aca="false">(O22+O26+O27+O28)*O20</f>
        <v>0</v>
      </c>
      <c r="P29" s="38" t="n">
        <f aca="false">(P22+P26+P27+P28)*P20</f>
        <v>0</v>
      </c>
      <c r="Q29" s="38" t="n">
        <f aca="false">(Q22+Q26+Q27+Q28)*Q20</f>
        <v>0</v>
      </c>
      <c r="R29" s="38" t="n">
        <f aca="false">(R22+R26+R27+R28)*R20</f>
        <v>0</v>
      </c>
      <c r="S29" s="38" t="n">
        <f aca="false">(S22+S26+S27+S28)*S20</f>
        <v>0</v>
      </c>
      <c r="T29" s="38" t="n">
        <f aca="false">(T22+T26+T27+T28)*T20</f>
        <v>0</v>
      </c>
      <c r="U29" s="38" t="n">
        <f aca="false">(U22+U26+U27+U28)*U20</f>
        <v>0</v>
      </c>
      <c r="V29" s="38" t="n">
        <f aca="false">(V22+V26+V27+V28)*V20</f>
        <v>0</v>
      </c>
      <c r="W29" s="38" t="n">
        <f aca="false">(W22+W26+W27+W28)*W20</f>
        <v>0</v>
      </c>
      <c r="X29" s="38" t="n">
        <f aca="false">(X22+X26+X27+X28)*X20</f>
        <v>0</v>
      </c>
      <c r="Y29" s="38" t="n">
        <f aca="false">(Y22+Y26+Y27+Y28)*Y20</f>
        <v>0</v>
      </c>
      <c r="Z29" s="38" t="n">
        <f aca="false">(Z22+Z26+Z27+Z28)*Z20</f>
        <v>0</v>
      </c>
      <c r="AA29" s="38" t="n">
        <f aca="false">(AA22+AA26+AA27+AA28)*AA20</f>
        <v>0</v>
      </c>
      <c r="AB29" s="38" t="n">
        <f aca="false">(AB22+AB26+AB27+AB28)*AB20</f>
        <v>0</v>
      </c>
      <c r="AC29" s="38" t="n">
        <f aca="false">(AC22+AC26+AC27+AC28)*AC20</f>
        <v>0</v>
      </c>
      <c r="AD29" s="38" t="n">
        <f aca="false">(AD22+AD26+AD27+AD28)*AD20</f>
        <v>0</v>
      </c>
      <c r="AE29" s="38" t="n">
        <f aca="false">(AE22+AE26+AE27+AE28)*AE20</f>
        <v>0</v>
      </c>
      <c r="AF29" s="38" t="n">
        <f aca="false">(AF22+AF26+AF27+AF28)*AF20</f>
        <v>0</v>
      </c>
      <c r="AG29" s="38" t="n">
        <f aca="false">(AG22+AG26+AG27+AG28)*AG20</f>
        <v>0</v>
      </c>
      <c r="AH29" s="38" t="n">
        <f aca="false">(AH22+AH26+AH27+AH28)*AH20</f>
        <v>0</v>
      </c>
      <c r="AI29" s="38" t="n">
        <f aca="false">(AI22+AI26+AI27+AI28)*AI20</f>
        <v>0</v>
      </c>
      <c r="AJ29" s="38" t="n">
        <f aca="false">(AJ22+AJ26+AJ27+AJ28)*AJ20</f>
        <v>0</v>
      </c>
      <c r="AK29" s="38" t="n">
        <f aca="false">(AK22+AK26+AK27+AK28)*AK20</f>
        <v>0</v>
      </c>
      <c r="AL29" s="38" t="n">
        <f aca="false">(AL22+AL26+AL27+AL28)*AL20</f>
        <v>0</v>
      </c>
      <c r="AM29" s="38" t="n">
        <f aca="false">(AM22+AM26+AM27+AM28)*AM20</f>
        <v>0</v>
      </c>
      <c r="AN29" s="38" t="n">
        <f aca="false">(AN22+AN26+AN27+AN28)*AN20</f>
        <v>0</v>
      </c>
      <c r="AO29" s="38" t="n">
        <f aca="false">(AO22+AO26+AO27+AO28)*AO20</f>
        <v>0</v>
      </c>
      <c r="AP29" s="38" t="n">
        <f aca="false">(AP22+AP26+AP27+AP28)*AP20</f>
        <v>0</v>
      </c>
      <c r="AQ29" s="38" t="n">
        <f aca="false">(AQ22+AQ26+AQ27+AQ28)*AQ20</f>
        <v>0</v>
      </c>
      <c r="AR29" s="38" t="n">
        <f aca="false">(AR22+AR26+AR27+AR28)*AR20</f>
        <v>0</v>
      </c>
      <c r="AS29" s="38" t="n">
        <f aca="false">(AS22+AS26+AS27+AS28)*AS20</f>
        <v>0</v>
      </c>
      <c r="AT29" s="38" t="n">
        <f aca="false">(AT22+AT26+AT27+AT28)*AT20</f>
        <v>0</v>
      </c>
      <c r="AU29" s="38" t="n">
        <f aca="false">(AU22+AU26+AU27+AU28)*AU20</f>
        <v>0</v>
      </c>
      <c r="AV29" s="38" t="n">
        <f aca="false">(AV22+AV26+AV27+AV28)*AV20</f>
        <v>0</v>
      </c>
    </row>
    <row r="30" customFormat="false" ht="15" hidden="false" customHeight="false" outlineLevel="0" collapsed="false">
      <c r="B30" s="7" t="s">
        <v>147</v>
      </c>
      <c r="D30" s="37" t="n">
        <f aca="false">((MAX(Inputs!$C$5+1,DATE(D$19,1,1))+DATE(D$19,12,31))/2-Inputs!$C$5)/365</f>
        <v>0.253424657534247</v>
      </c>
      <c r="E30" s="37" t="n">
        <f aca="false">((MAX(Inputs!$C$5+1,DATE(E$19,1,1))+DATE(E$19,12,31))/2-Inputs!$C$5)/365</f>
        <v>1.00547945205479</v>
      </c>
      <c r="F30" s="37" t="n">
        <f aca="false">((MAX(Inputs!$C$5+1,DATE(F$19,1,1))+DATE(F$19,12,31))/2-Inputs!$C$5)/365</f>
        <v>2.00684931506849</v>
      </c>
      <c r="G30" s="37" t="n">
        <f aca="false">((MAX(Inputs!$C$5+1,DATE(G$19,1,1))+DATE(G$19,12,31))/2-Inputs!$C$5)/365</f>
        <v>3.00821917808219</v>
      </c>
      <c r="H30" s="37" t="n">
        <f aca="false">((MAX(Inputs!$C$5+1,DATE(H$19,1,1))+DATE(H$19,12,31))/2-Inputs!$C$5)/365</f>
        <v>4.00821917808219</v>
      </c>
      <c r="I30" s="37" t="n">
        <f aca="false">((MAX(Inputs!$C$5+1,DATE(I$19,1,1))+DATE(I$19,12,31))/2-Inputs!$C$5)/365</f>
        <v>5.00821917808219</v>
      </c>
      <c r="J30" s="37" t="n">
        <f aca="false">((MAX(Inputs!$C$5+1,DATE(J$19,1,1))+DATE(J$19,12,31))/2-Inputs!$C$5)/365</f>
        <v>6.00958904109589</v>
      </c>
      <c r="K30" s="37" t="n">
        <f aca="false">((MAX(Inputs!$C$5+1,DATE(K$19,1,1))+DATE(K$19,12,31))/2-Inputs!$C$5)/365</f>
        <v>7.01095890410959</v>
      </c>
      <c r="L30" s="37" t="n">
        <f aca="false">((MAX(Inputs!$C$5+1,DATE(L$19,1,1))+DATE(L$19,12,31))/2-Inputs!$C$5)/365</f>
        <v>8.01095890410959</v>
      </c>
      <c r="M30" s="37" t="n">
        <f aca="false">((MAX(Inputs!$C$5+1,DATE(M$19,1,1))+DATE(M$19,12,31))/2-Inputs!$C$5)/365</f>
        <v>9.01095890410959</v>
      </c>
      <c r="N30" s="37" t="n">
        <f aca="false">((MAX(Inputs!$C$5+1,DATE(N$19,1,1))+DATE(N$19,12,31))/2-Inputs!$C$5)/365</f>
        <v>10.0123287671233</v>
      </c>
      <c r="O30" s="37" t="n">
        <f aca="false">((MAX(Inputs!$C$5+1,DATE(O$19,1,1))+DATE(O$19,12,31))/2-Inputs!$C$5)/365</f>
        <v>11.013698630137</v>
      </c>
      <c r="P30" s="37" t="n">
        <f aca="false">((MAX(Inputs!$C$5+1,DATE(P$19,1,1))+DATE(P$19,12,31))/2-Inputs!$C$5)/365</f>
        <v>12.013698630137</v>
      </c>
      <c r="Q30" s="37" t="n">
        <f aca="false">((MAX(Inputs!$C$5+1,DATE(Q$19,1,1))+DATE(Q$19,12,31))/2-Inputs!$C$5)/365</f>
        <v>13.013698630137</v>
      </c>
      <c r="R30" s="37" t="n">
        <f aca="false">((MAX(Inputs!$C$5+1,DATE(R$19,1,1))+DATE(R$19,12,31))/2-Inputs!$C$5)/365</f>
        <v>14.0150684931507</v>
      </c>
      <c r="S30" s="37" t="n">
        <f aca="false">((MAX(Inputs!$C$5+1,DATE(S$19,1,1))+DATE(S$19,12,31))/2-Inputs!$C$5)/365</f>
        <v>15.0164383561644</v>
      </c>
      <c r="T30" s="37" t="n">
        <f aca="false">((MAX(Inputs!$C$5+1,DATE(T$19,1,1))+DATE(T$19,12,31))/2-Inputs!$C$5)/365</f>
        <v>16.0164383561644</v>
      </c>
      <c r="U30" s="37" t="n">
        <f aca="false">((MAX(Inputs!$C$5+1,DATE(U$19,1,1))+DATE(U$19,12,31))/2-Inputs!$C$5)/365</f>
        <v>17.0164383561644</v>
      </c>
      <c r="V30" s="37" t="n">
        <f aca="false">((MAX(Inputs!$C$5+1,DATE(V$19,1,1))+DATE(V$19,12,31))/2-Inputs!$C$5)/365</f>
        <v>18.0178082191781</v>
      </c>
      <c r="W30" s="37" t="n">
        <f aca="false">((MAX(Inputs!$C$5+1,DATE(W$19,1,1))+DATE(W$19,12,31))/2-Inputs!$C$5)/365</f>
        <v>19.0191780821918</v>
      </c>
      <c r="X30" s="37" t="n">
        <f aca="false">((MAX(Inputs!$C$5+1,DATE(X$19,1,1))+DATE(X$19,12,31))/2-Inputs!$C$5)/365</f>
        <v>20.0191780821918</v>
      </c>
      <c r="Y30" s="37" t="n">
        <f aca="false">((MAX(Inputs!$C$5+1,DATE(Y$19,1,1))+DATE(Y$19,12,31))/2-Inputs!$C$5)/365</f>
        <v>21.0191780821918</v>
      </c>
      <c r="Z30" s="37" t="n">
        <f aca="false">((MAX(Inputs!$C$5+1,DATE(Z$19,1,1))+DATE(Z$19,12,31))/2-Inputs!$C$5)/365</f>
        <v>22.0205479452055</v>
      </c>
      <c r="AA30" s="37" t="n">
        <f aca="false">((MAX(Inputs!$C$5+1,DATE(AA$19,1,1))+DATE(AA$19,12,31))/2-Inputs!$C$5)/365</f>
        <v>23.0219178082192</v>
      </c>
      <c r="AB30" s="37" t="n">
        <f aca="false">((MAX(Inputs!$C$5+1,DATE(AB$19,1,1))+DATE(AB$19,12,31))/2-Inputs!$C$5)/365</f>
        <v>24.0219178082192</v>
      </c>
      <c r="AC30" s="37" t="n">
        <f aca="false">((MAX(Inputs!$C$5+1,DATE(AC$19,1,1))+DATE(AC$19,12,31))/2-Inputs!$C$5)/365</f>
        <v>25.0219178082192</v>
      </c>
      <c r="AD30" s="37" t="n">
        <f aca="false">((MAX(Inputs!$C$5+1,DATE(AD$19,1,1))+DATE(AD$19,12,31))/2-Inputs!$C$5)/365</f>
        <v>26.0232876712329</v>
      </c>
      <c r="AE30" s="37" t="n">
        <f aca="false">((MAX(Inputs!$C$5+1,DATE(AE$19,1,1))+DATE(AE$19,12,31))/2-Inputs!$C$5)/365</f>
        <v>27.0246575342466</v>
      </c>
      <c r="AF30" s="37" t="n">
        <f aca="false">((MAX(Inputs!$C$5+1,DATE(AF$19,1,1))+DATE(AF$19,12,31))/2-Inputs!$C$5)/365</f>
        <v>28.0246575342466</v>
      </c>
      <c r="AG30" s="37" t="n">
        <f aca="false">((MAX(Inputs!$C$5+1,DATE(AG$19,1,1))+DATE(AG$19,12,31))/2-Inputs!$C$5)/365</f>
        <v>29.0246575342466</v>
      </c>
      <c r="AH30" s="37" t="n">
        <f aca="false">((MAX(Inputs!$C$5+1,DATE(AH$19,1,1))+DATE(AH$19,12,31))/2-Inputs!$C$5)/365</f>
        <v>30.0260273972603</v>
      </c>
      <c r="AI30" s="37" t="n">
        <f aca="false">((MAX(Inputs!$C$5+1,DATE(AI$19,1,1))+DATE(AI$19,12,31))/2-Inputs!$C$5)/365</f>
        <v>31.027397260274</v>
      </c>
      <c r="AJ30" s="37" t="n">
        <f aca="false">((MAX(Inputs!$C$5+1,DATE(AJ$19,1,1))+DATE(AJ$19,12,31))/2-Inputs!$C$5)/365</f>
        <v>32.027397260274</v>
      </c>
      <c r="AK30" s="37" t="n">
        <f aca="false">((MAX(Inputs!$C$5+1,DATE(AK$19,1,1))+DATE(AK$19,12,31))/2-Inputs!$C$5)/365</f>
        <v>33.027397260274</v>
      </c>
      <c r="AL30" s="37" t="n">
        <f aca="false">((MAX(Inputs!$C$5+1,DATE(AL$19,1,1))+DATE(AL$19,12,31))/2-Inputs!$C$5)/365</f>
        <v>34.0287671232877</v>
      </c>
      <c r="AM30" s="37" t="n">
        <f aca="false">((MAX(Inputs!$C$5+1,DATE(AM$19,1,1))+DATE(AM$19,12,31))/2-Inputs!$C$5)/365</f>
        <v>35.0301369863014</v>
      </c>
      <c r="AN30" s="37" t="n">
        <f aca="false">((MAX(Inputs!$C$5+1,DATE(AN$19,1,1))+DATE(AN$19,12,31))/2-Inputs!$C$5)/365</f>
        <v>36.0301369863014</v>
      </c>
      <c r="AO30" s="37" t="n">
        <f aca="false">((MAX(Inputs!$C$5+1,DATE(AO$19,1,1))+DATE(AO$19,12,31))/2-Inputs!$C$5)/365</f>
        <v>37.0301369863014</v>
      </c>
      <c r="AP30" s="37" t="n">
        <f aca="false">((MAX(Inputs!$C$5+1,DATE(AP$19,1,1))+DATE(AP$19,12,31))/2-Inputs!$C$5)/365</f>
        <v>38.0315068493151</v>
      </c>
      <c r="AQ30" s="37" t="n">
        <f aca="false">((MAX(Inputs!$C$5+1,DATE(AQ$19,1,1))+DATE(AQ$19,12,31))/2-Inputs!$C$5)/365</f>
        <v>39.0328767123288</v>
      </c>
      <c r="AR30" s="37" t="n">
        <f aca="false">((MAX(Inputs!$C$5+1,DATE(AR$19,1,1))+DATE(AR$19,12,31))/2-Inputs!$C$5)/365</f>
        <v>40.0328767123288</v>
      </c>
      <c r="AS30" s="37" t="n">
        <f aca="false">((MAX(Inputs!$C$5+1,DATE(AS$19,1,1))+DATE(AS$19,12,31))/2-Inputs!$C$5)/365</f>
        <v>41.0328767123288</v>
      </c>
      <c r="AT30" s="37" t="n">
        <f aca="false">((MAX(Inputs!$C$5+1,DATE(AT$19,1,1))+DATE(AT$19,12,31))/2-Inputs!$C$5)/365</f>
        <v>42.0342465753425</v>
      </c>
      <c r="AU30" s="37" t="n">
        <f aca="false">((MAX(Inputs!$C$5+1,DATE(AU$19,1,1))+DATE(AU$19,12,31))/2-Inputs!$C$5)/365</f>
        <v>43.0356164383562</v>
      </c>
      <c r="AV30" s="37" t="n">
        <f aca="false">((MAX(Inputs!$C$5+1,DATE(AV$19,1,1))+DATE(AV$19,12,31))/2-Inputs!$C$5)/365</f>
        <v>44.0356164383562</v>
      </c>
    </row>
    <row r="31" customFormat="false" ht="15" hidden="false" customHeight="false" outlineLevel="0" collapsed="false">
      <c r="B31" s="7" t="s">
        <v>148</v>
      </c>
      <c r="D31" s="39" t="n">
        <f aca="false">1/(1+$C$12)^D30</f>
        <v>0.981839094546998</v>
      </c>
      <c r="E31" s="39" t="n">
        <f aca="false">1/(1+$C$12)^E30</f>
        <v>0.929864000846419</v>
      </c>
      <c r="F31" s="39" t="n">
        <f aca="false">1/(1+$C$12)^F30</f>
        <v>0.864904078457068</v>
      </c>
      <c r="G31" s="39" t="n">
        <f aca="false">1/(1+$C$12)^G30</f>
        <v>0.804482229929044</v>
      </c>
      <c r="H31" s="39" t="n">
        <f aca="false">1/(1+$C$12)^H30</f>
        <v>0.748355562724692</v>
      </c>
      <c r="I31" s="39" t="n">
        <f aca="false">1/(1+$C$12)^I30</f>
        <v>0.696144709511341</v>
      </c>
      <c r="J31" s="39" t="n">
        <f aca="false">1/(1+$C$12)^J30</f>
        <v>0.647512322129476</v>
      </c>
      <c r="K31" s="39" t="n">
        <f aca="false">1/(1+$C$12)^K30</f>
        <v>0.602277373627984</v>
      </c>
      <c r="L31" s="39" t="n">
        <f aca="false">1/(1+$C$12)^L30</f>
        <v>0.56025802197952</v>
      </c>
      <c r="M31" s="39" t="n">
        <f aca="false">1/(1+$C$12)^M30</f>
        <v>0.521170253004204</v>
      </c>
      <c r="N31" s="39" t="n">
        <f aca="false">1/(1+$C$12)^N30</f>
        <v>0.484761510267659</v>
      </c>
      <c r="O31" s="39" t="n">
        <f aca="false">1/(1+$C$12)^O30</f>
        <v>0.450896267548651</v>
      </c>
      <c r="P31" s="39" t="n">
        <f aca="false">1/(1+$C$12)^P30</f>
        <v>0.41943838841735</v>
      </c>
      <c r="Q31" s="39" t="n">
        <f aca="false">1/(1+$C$12)^Q30</f>
        <v>0.390175245039396</v>
      </c>
      <c r="R31" s="39" t="n">
        <f aca="false">1/(1+$C$12)^R30</f>
        <v>0.362917760490113</v>
      </c>
      <c r="S31" s="39" t="n">
        <f aca="false">1/(1+$C$12)^S30</f>
        <v>0.337564472768795</v>
      </c>
      <c r="T31" s="39" t="n">
        <f aca="false">1/(1+$C$12)^T30</f>
        <v>0.31401346304074</v>
      </c>
      <c r="U31" s="39" t="n">
        <f aca="false">1/(1+$C$12)^U30</f>
        <v>0.292105547014642</v>
      </c>
      <c r="V31" s="39" t="n">
        <f aca="false">1/(1+$C$12)^V30</f>
        <v>0.271699171839027</v>
      </c>
      <c r="W31" s="39" t="n">
        <f aca="false">1/(1+$C$12)^W30</f>
        <v>0.252718377766078</v>
      </c>
      <c r="X31" s="39" t="n">
        <f aca="false">1/(1+$C$12)^X30</f>
        <v>0.235086863038212</v>
      </c>
      <c r="Y31" s="39" t="n">
        <f aca="false">1/(1+$C$12)^Y30</f>
        <v>0.218685453989035</v>
      </c>
      <c r="Z31" s="39" t="n">
        <f aca="false">1/(1+$C$12)^Z30</f>
        <v>0.203408176767982</v>
      </c>
      <c r="AA31" s="39" t="n">
        <f aca="false">1/(1+$C$12)^AA30</f>
        <v>0.189198163944408</v>
      </c>
      <c r="AB31" s="39" t="n">
        <f aca="false">1/(1+$C$12)^AB30</f>
        <v>0.17599829204131</v>
      </c>
      <c r="AC31" s="39" t="n">
        <f aca="false">1/(1+$C$12)^AC30</f>
        <v>0.163719341433777</v>
      </c>
      <c r="AD31" s="39" t="n">
        <f aca="false">1/(1+$C$12)^AD30</f>
        <v>0.152281974567769</v>
      </c>
      <c r="AE31" s="39" t="n">
        <f aca="false">1/(1+$C$12)^AE30</f>
        <v>0.141643617517475</v>
      </c>
      <c r="AF31" s="39" t="n">
        <f aca="false">1/(1+$C$12)^AF30</f>
        <v>0.131761504667418</v>
      </c>
      <c r="AG31" s="39" t="n">
        <f aca="false">1/(1+$C$12)^AG30</f>
        <v>0.122568841551087</v>
      </c>
      <c r="AH31" s="39" t="n">
        <f aca="false">1/(1+$C$12)^AH30</f>
        <v>0.114006231935849</v>
      </c>
      <c r="AI31" s="39" t="n">
        <f aca="false">1/(1+$C$12)^AI30</f>
        <v>0.106041802759417</v>
      </c>
      <c r="AJ31" s="39" t="n">
        <f aca="false">1/(1+$C$12)^AJ30</f>
        <v>0.0986435374506203</v>
      </c>
      <c r="AK31" s="39" t="n">
        <f aca="false">1/(1+$C$12)^AK30</f>
        <v>0.0917614301866235</v>
      </c>
      <c r="AL31" s="39" t="n">
        <f aca="false">1/(1+$C$12)^AL30</f>
        <v>0.0853510138484998</v>
      </c>
      <c r="AM31" s="39" t="n">
        <f aca="false">1/(1+$C$12)^AM30</f>
        <v>0.079388426598747</v>
      </c>
      <c r="AN31" s="39" t="n">
        <f aca="false">1/(1+$C$12)^AN30</f>
        <v>0.0738496991616251</v>
      </c>
      <c r="AO31" s="39" t="n">
        <f aca="false">1/(1+$C$12)^AO30</f>
        <v>0.0686973945689536</v>
      </c>
      <c r="AP31" s="39" t="n">
        <f aca="false">1/(1+$C$12)^AP30</f>
        <v>0.063898222415297</v>
      </c>
      <c r="AQ31" s="39" t="n">
        <f aca="false">1/(1+$C$12)^AQ30</f>
        <v>0.0594343184840373</v>
      </c>
      <c r="AR31" s="39" t="n">
        <f aca="false">1/(1+$C$12)^AR30</f>
        <v>0.0552877381246859</v>
      </c>
      <c r="AS31" s="39" t="n">
        <f aca="false">1/(1+$C$12)^AS30</f>
        <v>0.0514304540694752</v>
      </c>
      <c r="AT31" s="39" t="n">
        <f aca="false">1/(1+$C$12)^AT30</f>
        <v>0.0478375433838684</v>
      </c>
      <c r="AU31" s="39" t="n">
        <f aca="false">1/(1+$C$12)^AU30</f>
        <v>0.0444956319831854</v>
      </c>
      <c r="AV31" s="39" t="n">
        <f aca="false">1/(1+$C$12)^AV30</f>
        <v>0.0413912855657539</v>
      </c>
    </row>
    <row r="32" customFormat="false" ht="15" hidden="false" customHeight="false" outlineLevel="0" collapsed="false">
      <c r="B32" s="12" t="s">
        <v>149</v>
      </c>
      <c r="D32" s="40" t="n">
        <f aca="false">D29*D31</f>
        <v>424.674923084284</v>
      </c>
      <c r="E32" s="40" t="n">
        <f aca="false">E29*E31</f>
        <v>968.556013756027</v>
      </c>
      <c r="F32" s="40" t="n">
        <f aca="false">F29*F31</f>
        <v>948.529347409672</v>
      </c>
      <c r="G32" s="40" t="n">
        <f aca="false">G29*G31</f>
        <v>923.847655577407</v>
      </c>
      <c r="H32" s="40" t="n">
        <f aca="false">H29*H31</f>
        <v>902.362826377932</v>
      </c>
      <c r="I32" s="40" t="n">
        <f aca="false">I29*I31</f>
        <v>0</v>
      </c>
      <c r="J32" s="40" t="n">
        <f aca="false">J29*J31</f>
        <v>0</v>
      </c>
      <c r="K32" s="40" t="n">
        <f aca="false">K29*K31</f>
        <v>0</v>
      </c>
      <c r="L32" s="40" t="n">
        <f aca="false">L29*L31</f>
        <v>0</v>
      </c>
      <c r="M32" s="40" t="n">
        <f aca="false">M29*M31</f>
        <v>0</v>
      </c>
      <c r="N32" s="40" t="n">
        <f aca="false">N29*N31</f>
        <v>0</v>
      </c>
      <c r="O32" s="40" t="n">
        <f aca="false">O29*O31</f>
        <v>0</v>
      </c>
      <c r="P32" s="40" t="n">
        <f aca="false">P29*P31</f>
        <v>0</v>
      </c>
      <c r="Q32" s="40" t="n">
        <f aca="false">Q29*Q31</f>
        <v>0</v>
      </c>
      <c r="R32" s="40" t="n">
        <f aca="false">R29*R31</f>
        <v>0</v>
      </c>
      <c r="S32" s="40" t="n">
        <f aca="false">S29*S31</f>
        <v>0</v>
      </c>
      <c r="T32" s="40" t="n">
        <f aca="false">T29*T31</f>
        <v>0</v>
      </c>
      <c r="U32" s="40" t="n">
        <f aca="false">U29*U31</f>
        <v>0</v>
      </c>
      <c r="V32" s="40" t="n">
        <f aca="false">V29*V31</f>
        <v>0</v>
      </c>
      <c r="W32" s="40" t="n">
        <f aca="false">W29*W31</f>
        <v>0</v>
      </c>
      <c r="X32" s="40" t="n">
        <f aca="false">X29*X31</f>
        <v>0</v>
      </c>
      <c r="Y32" s="40" t="n">
        <f aca="false">Y29*Y31</f>
        <v>0</v>
      </c>
      <c r="Z32" s="40" t="n">
        <f aca="false">Z29*Z31</f>
        <v>0</v>
      </c>
      <c r="AA32" s="40" t="n">
        <f aca="false">AA29*AA31</f>
        <v>0</v>
      </c>
      <c r="AB32" s="40" t="n">
        <f aca="false">AB29*AB31</f>
        <v>0</v>
      </c>
      <c r="AC32" s="40" t="n">
        <f aca="false">AC29*AC31</f>
        <v>0</v>
      </c>
      <c r="AD32" s="40" t="n">
        <f aca="false">AD29*AD31</f>
        <v>0</v>
      </c>
      <c r="AE32" s="40" t="n">
        <f aca="false">AE29*AE31</f>
        <v>0</v>
      </c>
      <c r="AF32" s="40" t="n">
        <f aca="false">AF29*AF31</f>
        <v>0</v>
      </c>
      <c r="AG32" s="40" t="n">
        <f aca="false">AG29*AG31</f>
        <v>0</v>
      </c>
      <c r="AH32" s="40" t="n">
        <f aca="false">AH29*AH31</f>
        <v>0</v>
      </c>
      <c r="AI32" s="40" t="n">
        <f aca="false">AI29*AI31</f>
        <v>0</v>
      </c>
      <c r="AJ32" s="40" t="n">
        <f aca="false">AJ29*AJ31</f>
        <v>0</v>
      </c>
      <c r="AK32" s="40" t="n">
        <f aca="false">AK29*AK31</f>
        <v>0</v>
      </c>
      <c r="AL32" s="40" t="n">
        <f aca="false">AL29*AL31</f>
        <v>0</v>
      </c>
      <c r="AM32" s="40" t="n">
        <f aca="false">AM29*AM31</f>
        <v>0</v>
      </c>
      <c r="AN32" s="40" t="n">
        <f aca="false">AN29*AN31</f>
        <v>0</v>
      </c>
      <c r="AO32" s="40" t="n">
        <f aca="false">AO29*AO31</f>
        <v>0</v>
      </c>
      <c r="AP32" s="40" t="n">
        <f aca="false">AP29*AP31</f>
        <v>0</v>
      </c>
      <c r="AQ32" s="40" t="n">
        <f aca="false">AQ29*AQ31</f>
        <v>0</v>
      </c>
      <c r="AR32" s="40" t="n">
        <f aca="false">AR29*AR31</f>
        <v>0</v>
      </c>
      <c r="AS32" s="40" t="n">
        <f aca="false">AS29*AS31</f>
        <v>0</v>
      </c>
      <c r="AT32" s="40" t="n">
        <f aca="false">AT29*AT31</f>
        <v>0</v>
      </c>
      <c r="AU32" s="40" t="n">
        <f aca="false">AU29*AU31</f>
        <v>0</v>
      </c>
      <c r="AV32" s="40" t="n">
        <f aca="false">AV29*AV31</f>
        <v>0</v>
      </c>
    </row>
    <row r="33" customFormat="false" ht="15" hidden="false" customHeight="false" outlineLevel="0" collapsed="false">
      <c r="B33" s="7" t="s">
        <v>150</v>
      </c>
      <c r="D33" s="16" t="n">
        <f aca="false">IF(AND($C$13=0,D$19=$C$15),D22-D21*($C$17+$C$11)-MAX(0,D22-D21*$C$17)*Inputs!$C$11,0)</f>
        <v>0</v>
      </c>
      <c r="E33" s="16" t="n">
        <f aca="false">IF(AND($C$13=0,E$19=$C$15),E22-E21*($C$17+$C$11)-MAX(0,E22-E21*$C$17)*Inputs!$C$11,0)</f>
        <v>0</v>
      </c>
      <c r="F33" s="16" t="n">
        <f aca="false">IF(AND($C$13=0,F$19=$C$15),F22-F21*($C$17+$C$11)-MAX(0,F22-F21*$C$17)*Inputs!$C$11,0)</f>
        <v>0</v>
      </c>
      <c r="G33" s="16" t="n">
        <f aca="false">IF(AND($C$13=0,G$19=$C$15),G22-G21*($C$17+$C$11)-MAX(0,G22-G21*$C$17)*Inputs!$C$11,0)</f>
        <v>0</v>
      </c>
      <c r="H33" s="16" t="n">
        <f aca="false">IF(AND($C$13=0,H$19=$C$15),H22-H21*($C$17+$C$11)-MAX(0,H22-H21*$C$17)*Inputs!$C$11,0)</f>
        <v>1071.73629387592</v>
      </c>
      <c r="I33" s="16" t="n">
        <f aca="false">IF(AND($C$13=0,I$19=$C$15),I22-I21*($C$17+$C$11)-MAX(0,I22-I21*$C$17)*Inputs!$C$11,0)</f>
        <v>0</v>
      </c>
      <c r="J33" s="16" t="n">
        <f aca="false">IF(AND($C$13=0,J$19=$C$15),J22-J21*($C$17+$C$11)-MAX(0,J22-J21*$C$17)*Inputs!$C$11,0)</f>
        <v>0</v>
      </c>
      <c r="K33" s="16" t="n">
        <f aca="false">IF(AND($C$13=0,K$19=$C$15),K22-K21*($C$17+$C$11)-MAX(0,K22-K21*$C$17)*Inputs!$C$11,0)</f>
        <v>0</v>
      </c>
      <c r="L33" s="16" t="n">
        <f aca="false">IF(AND($C$13=0,L$19=$C$15),L22-L21*($C$17+$C$11)-MAX(0,L22-L21*$C$17)*Inputs!$C$11,0)</f>
        <v>0</v>
      </c>
      <c r="M33" s="16" t="n">
        <f aca="false">IF(AND($C$13=0,M$19=$C$15),M22-M21*($C$17+$C$11)-MAX(0,M22-M21*$C$17)*Inputs!$C$11,0)</f>
        <v>0</v>
      </c>
      <c r="N33" s="16" t="n">
        <f aca="false">IF(AND($C$13=0,N$19=$C$15),N22-N21*($C$17+$C$11)-MAX(0,N22-N21*$C$17)*Inputs!$C$11,0)</f>
        <v>0</v>
      </c>
      <c r="O33" s="16" t="n">
        <f aca="false">IF(AND($C$13=0,O$19=$C$15),O22-O21*($C$17+$C$11)-MAX(0,O22-O21*$C$17)*Inputs!$C$11,0)</f>
        <v>0</v>
      </c>
      <c r="P33" s="16" t="n">
        <f aca="false">IF(AND($C$13=0,P$19=$C$15),P22-P21*($C$17+$C$11)-MAX(0,P22-P21*$C$17)*Inputs!$C$11,0)</f>
        <v>0</v>
      </c>
      <c r="Q33" s="16" t="n">
        <f aca="false">IF(AND($C$13=0,Q$19=$C$15),Q22-Q21*($C$17+$C$11)-MAX(0,Q22-Q21*$C$17)*Inputs!$C$11,0)</f>
        <v>0</v>
      </c>
      <c r="R33" s="16" t="n">
        <f aca="false">IF(AND($C$13=0,R$19=$C$15),R22-R21*($C$17+$C$11)-MAX(0,R22-R21*$C$17)*Inputs!$C$11,0)</f>
        <v>0</v>
      </c>
      <c r="S33" s="16" t="n">
        <f aca="false">IF(AND($C$13=0,S$19=$C$15),S22-S21*($C$17+$C$11)-MAX(0,S22-S21*$C$17)*Inputs!$C$11,0)</f>
        <v>0</v>
      </c>
      <c r="T33" s="16" t="n">
        <f aca="false">IF(AND($C$13=0,T$19=$C$15),T22-T21*($C$17+$C$11)-MAX(0,T22-T21*$C$17)*Inputs!$C$11,0)</f>
        <v>0</v>
      </c>
      <c r="U33" s="16" t="n">
        <f aca="false">IF(AND($C$13=0,U$19=$C$15),U22-U21*($C$17+$C$11)-MAX(0,U22-U21*$C$17)*Inputs!$C$11,0)</f>
        <v>0</v>
      </c>
      <c r="V33" s="16" t="n">
        <f aca="false">IF(AND($C$13=0,V$19=$C$15),V22-V21*($C$17+$C$11)-MAX(0,V22-V21*$C$17)*Inputs!$C$11,0)</f>
        <v>0</v>
      </c>
      <c r="W33" s="16" t="n">
        <f aca="false">IF(AND($C$13=0,W$19=$C$15),W22-W21*($C$17+$C$11)-MAX(0,W22-W21*$C$17)*Inputs!$C$11,0)</f>
        <v>0</v>
      </c>
      <c r="X33" s="16" t="n">
        <f aca="false">IF(AND($C$13=0,X$19=$C$15),X22-X21*($C$17+$C$11)-MAX(0,X22-X21*$C$17)*Inputs!$C$11,0)</f>
        <v>0</v>
      </c>
      <c r="Y33" s="16" t="n">
        <f aca="false">IF(AND($C$13=0,Y$19=$C$15),Y22-Y21*($C$17+$C$11)-MAX(0,Y22-Y21*$C$17)*Inputs!$C$11,0)</f>
        <v>0</v>
      </c>
      <c r="Z33" s="16" t="n">
        <f aca="false">IF(AND($C$13=0,Z$19=$C$15),Z22-Z21*($C$17+$C$11)-MAX(0,Z22-Z21*$C$17)*Inputs!$C$11,0)</f>
        <v>0</v>
      </c>
      <c r="AA33" s="16" t="n">
        <f aca="false">IF(AND($C$13=0,AA$19=$C$15),AA22-AA21*($C$17+$C$11)-MAX(0,AA22-AA21*$C$17)*Inputs!$C$11,0)</f>
        <v>0</v>
      </c>
      <c r="AB33" s="16" t="n">
        <f aca="false">IF(AND($C$13=0,AB$19=$C$15),AB22-AB21*($C$17+$C$11)-MAX(0,AB22-AB21*$C$17)*Inputs!$C$11,0)</f>
        <v>0</v>
      </c>
      <c r="AC33" s="16" t="n">
        <f aca="false">IF(AND($C$13=0,AC$19=$C$15),AC22-AC21*($C$17+$C$11)-MAX(0,AC22-AC21*$C$17)*Inputs!$C$11,0)</f>
        <v>0</v>
      </c>
      <c r="AD33" s="16" t="n">
        <f aca="false">IF(AND($C$13=0,AD$19=$C$15),AD22-AD21*($C$17+$C$11)-MAX(0,AD22-AD21*$C$17)*Inputs!$C$11,0)</f>
        <v>0</v>
      </c>
      <c r="AE33" s="16" t="n">
        <f aca="false">IF(AND($C$13=0,AE$19=$C$15),AE22-AE21*($C$17+$C$11)-MAX(0,AE22-AE21*$C$17)*Inputs!$C$11,0)</f>
        <v>0</v>
      </c>
      <c r="AF33" s="16" t="n">
        <f aca="false">IF(AND($C$13=0,AF$19=$C$15),AF22-AF21*($C$17+$C$11)-MAX(0,AF22-AF21*$C$17)*Inputs!$C$11,0)</f>
        <v>0</v>
      </c>
      <c r="AG33" s="16" t="n">
        <f aca="false">IF(AND($C$13=0,AG$19=$C$15),AG22-AG21*($C$17+$C$11)-MAX(0,AG22-AG21*$C$17)*Inputs!$C$11,0)</f>
        <v>0</v>
      </c>
      <c r="AH33" s="16" t="n">
        <f aca="false">IF(AND($C$13=0,AH$19=$C$15),AH22-AH21*($C$17+$C$11)-MAX(0,AH22-AH21*$C$17)*Inputs!$C$11,0)</f>
        <v>0</v>
      </c>
      <c r="AI33" s="16" t="n">
        <f aca="false">IF(AND($C$13=0,AI$19=$C$15),AI22-AI21*($C$17+$C$11)-MAX(0,AI22-AI21*$C$17)*Inputs!$C$11,0)</f>
        <v>0</v>
      </c>
      <c r="AJ33" s="16" t="n">
        <f aca="false">IF(AND($C$13=0,AJ$19=$C$15),AJ22-AJ21*($C$17+$C$11)-MAX(0,AJ22-AJ21*$C$17)*Inputs!$C$11,0)</f>
        <v>0</v>
      </c>
      <c r="AK33" s="16" t="n">
        <f aca="false">IF(AND($C$13=0,AK$19=$C$15),AK22-AK21*($C$17+$C$11)-MAX(0,AK22-AK21*$C$17)*Inputs!$C$11,0)</f>
        <v>0</v>
      </c>
      <c r="AL33" s="16" t="n">
        <f aca="false">IF(AND($C$13=0,AL$19=$C$15),AL22-AL21*($C$17+$C$11)-MAX(0,AL22-AL21*$C$17)*Inputs!$C$11,0)</f>
        <v>0</v>
      </c>
      <c r="AM33" s="16" t="n">
        <f aca="false">IF(AND($C$13=0,AM$19=$C$15),AM22-AM21*($C$17+$C$11)-MAX(0,AM22-AM21*$C$17)*Inputs!$C$11,0)</f>
        <v>0</v>
      </c>
      <c r="AN33" s="16" t="n">
        <f aca="false">IF(AND($C$13=0,AN$19=$C$15),AN22-AN21*($C$17+$C$11)-MAX(0,AN22-AN21*$C$17)*Inputs!$C$11,0)</f>
        <v>0</v>
      </c>
      <c r="AO33" s="16" t="n">
        <f aca="false">IF(AND($C$13=0,AO$19=$C$15),AO22-AO21*($C$17+$C$11)-MAX(0,AO22-AO21*$C$17)*Inputs!$C$11,0)</f>
        <v>0</v>
      </c>
      <c r="AP33" s="16" t="n">
        <f aca="false">IF(AND($C$13=0,AP$19=$C$15),AP22-AP21*($C$17+$C$11)-MAX(0,AP22-AP21*$C$17)*Inputs!$C$11,0)</f>
        <v>0</v>
      </c>
      <c r="AQ33" s="16" t="n">
        <f aca="false">IF(AND($C$13=0,AQ$19=$C$15),AQ22-AQ21*($C$17+$C$11)-MAX(0,AQ22-AQ21*$C$17)*Inputs!$C$11,0)</f>
        <v>0</v>
      </c>
      <c r="AR33" s="16" t="n">
        <f aca="false">IF(AND($C$13=0,AR$19=$C$15),AR22-AR21*($C$17+$C$11)-MAX(0,AR22-AR21*$C$17)*Inputs!$C$11,0)</f>
        <v>0</v>
      </c>
      <c r="AS33" s="16" t="n">
        <f aca="false">IF(AND($C$13=0,AS$19=$C$15),AS22-AS21*($C$17+$C$11)-MAX(0,AS22-AS21*$C$17)*Inputs!$C$11,0)</f>
        <v>0</v>
      </c>
      <c r="AT33" s="16" t="n">
        <f aca="false">IF(AND($C$13=0,AT$19=$C$15),AT22-AT21*($C$17+$C$11)-MAX(0,AT22-AT21*$C$17)*Inputs!$C$11,0)</f>
        <v>0</v>
      </c>
      <c r="AU33" s="16" t="n">
        <f aca="false">IF(AND($C$13=0,AU$19=$C$15),AU22-AU21*($C$17+$C$11)-MAX(0,AU22-AU21*$C$17)*Inputs!$C$11,0)</f>
        <v>0</v>
      </c>
      <c r="AV33" s="16" t="n">
        <f aca="false">IF(AND($C$13=0,AV$19=$C$15),AV22-AV21*($C$17+$C$11)-MAX(0,AV22-AV21*$C$17)*Inputs!$C$11,0)</f>
        <v>0</v>
      </c>
    </row>
    <row r="34" customFormat="false" ht="15" hidden="false" customHeight="false" outlineLevel="0" collapsed="false">
      <c r="B34" s="7" t="s">
        <v>151</v>
      </c>
      <c r="D34" s="16" t="n">
        <f aca="false">D33*(1+$C$16)/($C$12-$C$16)*D31</f>
        <v>0</v>
      </c>
      <c r="E34" s="16" t="n">
        <f aca="false">E33*(1+$C$16)/($C$12-$C$16)*E31</f>
        <v>0</v>
      </c>
      <c r="F34" s="16" t="n">
        <f aca="false">F33*(1+$C$16)/($C$12-$C$16)*F31</f>
        <v>0</v>
      </c>
      <c r="G34" s="16" t="n">
        <f aca="false">G33*(1+$C$16)/($C$12-$C$16)*G31</f>
        <v>0</v>
      </c>
      <c r="H34" s="16" t="n">
        <f aca="false">H33*(1+$C$16)/($C$12-$C$16)*H31</f>
        <v>14874.1929753075</v>
      </c>
      <c r="I34" s="16" t="n">
        <f aca="false">I33*(1+$C$16)/($C$12-$C$16)*I31</f>
        <v>0</v>
      </c>
      <c r="J34" s="16" t="n">
        <f aca="false">J33*(1+$C$16)/($C$12-$C$16)*J31</f>
        <v>0</v>
      </c>
      <c r="K34" s="16" t="n">
        <f aca="false">K33*(1+$C$16)/($C$12-$C$16)*K31</f>
        <v>0</v>
      </c>
      <c r="L34" s="16" t="n">
        <f aca="false">L33*(1+$C$16)/($C$12-$C$16)*L31</f>
        <v>0</v>
      </c>
      <c r="M34" s="16" t="n">
        <f aca="false">M33*(1+$C$16)/($C$12-$C$16)*M31</f>
        <v>0</v>
      </c>
      <c r="N34" s="16" t="n">
        <f aca="false">N33*(1+$C$16)/($C$12-$C$16)*N31</f>
        <v>0</v>
      </c>
      <c r="O34" s="16" t="n">
        <f aca="false">O33*(1+$C$16)/($C$12-$C$16)*O31</f>
        <v>0</v>
      </c>
      <c r="P34" s="16" t="n">
        <f aca="false">P33*(1+$C$16)/($C$12-$C$16)*P31</f>
        <v>0</v>
      </c>
      <c r="Q34" s="16" t="n">
        <f aca="false">Q33*(1+$C$16)/($C$12-$C$16)*Q31</f>
        <v>0</v>
      </c>
      <c r="R34" s="16" t="n">
        <f aca="false">R33*(1+$C$16)/($C$12-$C$16)*R31</f>
        <v>0</v>
      </c>
      <c r="S34" s="16" t="n">
        <f aca="false">S33*(1+$C$16)/($C$12-$C$16)*S31</f>
        <v>0</v>
      </c>
      <c r="T34" s="16" t="n">
        <f aca="false">T33*(1+$C$16)/($C$12-$C$16)*T31</f>
        <v>0</v>
      </c>
      <c r="U34" s="16" t="n">
        <f aca="false">U33*(1+$C$16)/($C$12-$C$16)*U31</f>
        <v>0</v>
      </c>
      <c r="V34" s="16" t="n">
        <f aca="false">V33*(1+$C$16)/($C$12-$C$16)*V31</f>
        <v>0</v>
      </c>
      <c r="W34" s="16" t="n">
        <f aca="false">W33*(1+$C$16)/($C$12-$C$16)*W31</f>
        <v>0</v>
      </c>
      <c r="X34" s="16" t="n">
        <f aca="false">X33*(1+$C$16)/($C$12-$C$16)*X31</f>
        <v>0</v>
      </c>
      <c r="Y34" s="16" t="n">
        <f aca="false">Y33*(1+$C$16)/($C$12-$C$16)*Y31</f>
        <v>0</v>
      </c>
      <c r="Z34" s="16" t="n">
        <f aca="false">Z33*(1+$C$16)/($C$12-$C$16)*Z31</f>
        <v>0</v>
      </c>
      <c r="AA34" s="16" t="n">
        <f aca="false">AA33*(1+$C$16)/($C$12-$C$16)*AA31</f>
        <v>0</v>
      </c>
      <c r="AB34" s="16" t="n">
        <f aca="false">AB33*(1+$C$16)/($C$12-$C$16)*AB31</f>
        <v>0</v>
      </c>
      <c r="AC34" s="16" t="n">
        <f aca="false">AC33*(1+$C$16)/($C$12-$C$16)*AC31</f>
        <v>0</v>
      </c>
      <c r="AD34" s="16" t="n">
        <f aca="false">AD33*(1+$C$16)/($C$12-$C$16)*AD31</f>
        <v>0</v>
      </c>
      <c r="AE34" s="16" t="n">
        <f aca="false">AE33*(1+$C$16)/($C$12-$C$16)*AE31</f>
        <v>0</v>
      </c>
      <c r="AF34" s="16" t="n">
        <f aca="false">AF33*(1+$C$16)/($C$12-$C$16)*AF31</f>
        <v>0</v>
      </c>
      <c r="AG34" s="16" t="n">
        <f aca="false">AG33*(1+$C$16)/($C$12-$C$16)*AG31</f>
        <v>0</v>
      </c>
      <c r="AH34" s="16" t="n">
        <f aca="false">AH33*(1+$C$16)/($C$12-$C$16)*AH31</f>
        <v>0</v>
      </c>
      <c r="AI34" s="16" t="n">
        <f aca="false">AI33*(1+$C$16)/($C$12-$C$16)*AI31</f>
        <v>0</v>
      </c>
      <c r="AJ34" s="16" t="n">
        <f aca="false">AJ33*(1+$C$16)/($C$12-$C$16)*AJ31</f>
        <v>0</v>
      </c>
      <c r="AK34" s="16" t="n">
        <f aca="false">AK33*(1+$C$16)/($C$12-$C$16)*AK31</f>
        <v>0</v>
      </c>
      <c r="AL34" s="16" t="n">
        <f aca="false">AL33*(1+$C$16)/($C$12-$C$16)*AL31</f>
        <v>0</v>
      </c>
      <c r="AM34" s="16" t="n">
        <f aca="false">AM33*(1+$C$16)/($C$12-$C$16)*AM31</f>
        <v>0</v>
      </c>
      <c r="AN34" s="16" t="n">
        <f aca="false">AN33*(1+$C$16)/($C$12-$C$16)*AN31</f>
        <v>0</v>
      </c>
      <c r="AO34" s="16" t="n">
        <f aca="false">AO33*(1+$C$16)/($C$12-$C$16)*AO31</f>
        <v>0</v>
      </c>
      <c r="AP34" s="16" t="n">
        <f aca="false">AP33*(1+$C$16)/($C$12-$C$16)*AP31</f>
        <v>0</v>
      </c>
      <c r="AQ34" s="16" t="n">
        <f aca="false">AQ33*(1+$C$16)/($C$12-$C$16)*AQ31</f>
        <v>0</v>
      </c>
      <c r="AR34" s="16" t="n">
        <f aca="false">AR33*(1+$C$16)/($C$12-$C$16)*AR31</f>
        <v>0</v>
      </c>
      <c r="AS34" s="16" t="n">
        <f aca="false">AS33*(1+$C$16)/($C$12-$C$16)*AS31</f>
        <v>0</v>
      </c>
      <c r="AT34" s="16" t="n">
        <f aca="false">AT33*(1+$C$16)/($C$12-$C$16)*AT31</f>
        <v>0</v>
      </c>
      <c r="AU34" s="16" t="n">
        <f aca="false">AU33*(1+$C$16)/($C$12-$C$16)*AU31</f>
        <v>0</v>
      </c>
      <c r="AV34" s="16" t="n">
        <f aca="false">AV33*(1+$C$16)/($C$12-$C$16)*AV31</f>
        <v>0</v>
      </c>
    </row>
    <row r="36" customFormat="false" ht="15" hidden="false" customHeight="false" outlineLevel="0" collapsed="false">
      <c r="B36" s="7" t="s">
        <v>152</v>
      </c>
      <c r="C36" s="16" t="n">
        <f aca="false">SUM($D$32:$AV$32)</f>
        <v>4167.97076620532</v>
      </c>
    </row>
    <row r="37" customFormat="false" ht="15" hidden="false" customHeight="false" outlineLevel="0" collapsed="false">
      <c r="B37" s="7" t="s">
        <v>151</v>
      </c>
      <c r="C37" s="16" t="n">
        <f aca="false">SUM($D$34:$AV$34)</f>
        <v>14874.1929753075</v>
      </c>
    </row>
    <row r="38" customFormat="false" ht="15" hidden="false" customHeight="false" outlineLevel="0" collapsed="false">
      <c r="B38" s="12" t="s">
        <v>177</v>
      </c>
      <c r="C38" s="13" t="n">
        <f aca="false">C36+C37</f>
        <v>19042.1637415128</v>
      </c>
    </row>
    <row r="39" customFormat="false" ht="15" hidden="false" customHeight="false" outlineLevel="0" collapsed="false">
      <c r="B39" s="7" t="s">
        <v>154</v>
      </c>
      <c r="C39" s="10" t="n">
        <f aca="false">IF(C38=0,0,C37/C38)</f>
        <v>0.781118846430306</v>
      </c>
    </row>
    <row r="40" customFormat="false" ht="15" hidden="false" customHeight="false" outlineLevel="0" collapsed="false">
      <c r="B40" s="7" t="s">
        <v>155</v>
      </c>
      <c r="C40" s="41" t="n">
        <f aca="false">IF(D22=0,0,C38/D22)</f>
        <v>8.8594189649365</v>
      </c>
    </row>
    <row r="41" customFormat="false" ht="15" hidden="false" customHeight="false" outlineLevel="0" collapsed="false">
      <c r="B41" s="7" t="s">
        <v>156</v>
      </c>
      <c r="C41" s="16" t="n">
        <f aca="false">SUM($D$33:$AV$33)</f>
        <v>1071.73629387592</v>
      </c>
    </row>
    <row r="42" customFormat="false" ht="15" hidden="false" customHeight="false" outlineLevel="0" collapsed="false">
      <c r="B42" s="7" t="s">
        <v>157</v>
      </c>
      <c r="C42" s="37" t="n">
        <f aca="false">SUMPRODUCT(($D$19:$AV$19=$C$15)*$D$30:$AV$30)</f>
        <v>4.00821917808219</v>
      </c>
    </row>
    <row r="43" customFormat="false" ht="15" hidden="false" customHeight="false" outlineLevel="0" collapsed="false">
      <c r="B43" s="12" t="s">
        <v>158</v>
      </c>
      <c r="C43" s="12" t="str">
        <f aca="false">IF(AND($C$12&gt;$C$16,SUMPRODUCT(($D$19:$AV$19&gt;YEAR($C$14))*($C$13=1)*ABS($D$29:$AV$29))=0),"OK","REVISAR")</f>
        <v>OK</v>
      </c>
    </row>
    <row r="46" customFormat="false" ht="15" hidden="false" customHeight="false" outlineLevel="0" collapsed="false">
      <c r="B46" s="22" t="s">
        <v>43</v>
      </c>
      <c r="C46" s="22"/>
      <c r="D46" s="22"/>
      <c r="E46" s="22"/>
      <c r="F46" s="22"/>
    </row>
    <row r="47" customFormat="false" ht="15" hidden="false" customHeight="true" outlineLevel="0" collapsed="false">
      <c r="B47" s="7" t="s">
        <v>122</v>
      </c>
      <c r="C47" s="31" t="n">
        <v>8004</v>
      </c>
      <c r="D47" s="33" t="s">
        <v>178</v>
      </c>
      <c r="E47" s="33"/>
      <c r="F47" s="33"/>
      <c r="G47" s="33"/>
      <c r="H47" s="33"/>
      <c r="I47" s="33"/>
      <c r="J47" s="33"/>
      <c r="K47" s="33"/>
      <c r="L47" s="33"/>
      <c r="M47" s="33"/>
      <c r="N47" s="33"/>
    </row>
    <row r="48" customFormat="false" ht="15" hidden="false" customHeight="false" outlineLevel="0" collapsed="false">
      <c r="B48" s="7" t="s">
        <v>124</v>
      </c>
      <c r="C48" s="29" t="n">
        <v>0.06</v>
      </c>
      <c r="D48" s="33"/>
      <c r="E48" s="33"/>
      <c r="F48" s="33"/>
      <c r="G48" s="33"/>
      <c r="H48" s="33"/>
      <c r="I48" s="33"/>
      <c r="J48" s="33"/>
      <c r="K48" s="33"/>
      <c r="L48" s="33"/>
      <c r="M48" s="33"/>
      <c r="N48" s="33"/>
    </row>
    <row r="49" customFormat="false" ht="15" hidden="false" customHeight="false" outlineLevel="0" collapsed="false">
      <c r="B49" s="7" t="s">
        <v>125</v>
      </c>
      <c r="C49" s="30" t="n">
        <v>0.05</v>
      </c>
      <c r="D49" s="33"/>
      <c r="E49" s="33"/>
      <c r="F49" s="33"/>
      <c r="G49" s="33"/>
      <c r="H49" s="33"/>
      <c r="I49" s="33"/>
      <c r="J49" s="33"/>
      <c r="K49" s="33"/>
      <c r="L49" s="33"/>
      <c r="M49" s="33"/>
      <c r="N49" s="33"/>
    </row>
    <row r="50" customFormat="false" ht="15" hidden="false" customHeight="false" outlineLevel="0" collapsed="false">
      <c r="B50" s="7" t="s">
        <v>126</v>
      </c>
      <c r="C50" s="29" t="n">
        <v>0.0982</v>
      </c>
      <c r="D50" s="33"/>
      <c r="E50" s="33"/>
      <c r="F50" s="33"/>
      <c r="G50" s="33"/>
      <c r="H50" s="33"/>
      <c r="I50" s="33"/>
      <c r="J50" s="33"/>
      <c r="K50" s="33"/>
      <c r="L50" s="33"/>
      <c r="M50" s="33"/>
      <c r="N50" s="33"/>
    </row>
    <row r="51" customFormat="false" ht="15" hidden="false" customHeight="false" outlineLevel="0" collapsed="false">
      <c r="B51" s="7" t="s">
        <v>127</v>
      </c>
      <c r="C51" s="29" t="n">
        <v>0.0214</v>
      </c>
      <c r="D51" s="33"/>
      <c r="E51" s="33"/>
      <c r="F51" s="33"/>
      <c r="G51" s="33"/>
      <c r="H51" s="33"/>
      <c r="I51" s="33"/>
      <c r="J51" s="33"/>
      <c r="K51" s="33"/>
      <c r="L51" s="33"/>
      <c r="M51" s="33"/>
      <c r="N51" s="33"/>
    </row>
    <row r="52" customFormat="false" ht="15" hidden="false" customHeight="false" outlineLevel="0" collapsed="false">
      <c r="B52" s="7" t="s">
        <v>128</v>
      </c>
      <c r="C52" s="29" t="n">
        <v>0.12</v>
      </c>
      <c r="D52" s="33"/>
      <c r="E52" s="33"/>
      <c r="F52" s="33"/>
      <c r="G52" s="33"/>
      <c r="H52" s="33"/>
      <c r="I52" s="33"/>
      <c r="J52" s="33"/>
      <c r="K52" s="33"/>
      <c r="L52" s="33"/>
      <c r="M52" s="33"/>
      <c r="N52" s="33"/>
    </row>
    <row r="53" customFormat="false" ht="15" hidden="false" customHeight="false" outlineLevel="0" collapsed="false">
      <c r="B53" s="7" t="s">
        <v>129</v>
      </c>
      <c r="C53" s="29" t="n">
        <v>0.0005</v>
      </c>
      <c r="D53" s="33"/>
      <c r="E53" s="33"/>
      <c r="F53" s="33"/>
      <c r="G53" s="33"/>
      <c r="H53" s="33"/>
      <c r="I53" s="33"/>
      <c r="J53" s="33"/>
      <c r="K53" s="33"/>
      <c r="L53" s="33"/>
      <c r="M53" s="33"/>
      <c r="N53" s="33"/>
    </row>
    <row r="54" customFormat="false" ht="15" hidden="false" customHeight="false" outlineLevel="0" collapsed="false">
      <c r="B54" s="7" t="s">
        <v>130</v>
      </c>
      <c r="C54" s="30" t="n">
        <v>0.09</v>
      </c>
      <c r="D54" s="33"/>
      <c r="E54" s="33"/>
      <c r="F54" s="33"/>
      <c r="G54" s="33"/>
      <c r="H54" s="33"/>
      <c r="I54" s="33"/>
      <c r="J54" s="33"/>
      <c r="K54" s="33"/>
      <c r="L54" s="33"/>
      <c r="M54" s="33"/>
      <c r="N54" s="33"/>
    </row>
    <row r="55" customFormat="false" ht="15" hidden="false" customHeight="false" outlineLevel="0" collapsed="false">
      <c r="B55" s="7" t="s">
        <v>131</v>
      </c>
      <c r="C55" s="34" t="n">
        <v>0</v>
      </c>
      <c r="D55" s="33"/>
      <c r="E55" s="33"/>
      <c r="F55" s="33"/>
      <c r="G55" s="33"/>
      <c r="H55" s="33"/>
      <c r="I55" s="33"/>
      <c r="J55" s="33"/>
      <c r="K55" s="33"/>
      <c r="L55" s="33"/>
      <c r="M55" s="33"/>
      <c r="N55" s="33"/>
    </row>
    <row r="56" customFormat="false" ht="15" hidden="false" customHeight="false" outlineLevel="0" collapsed="false">
      <c r="B56" s="7" t="s">
        <v>132</v>
      </c>
      <c r="C56" s="35" t="n">
        <v>46387</v>
      </c>
      <c r="D56" s="33"/>
      <c r="E56" s="33"/>
      <c r="F56" s="33"/>
      <c r="G56" s="33"/>
      <c r="H56" s="33"/>
      <c r="I56" s="33"/>
      <c r="J56" s="33"/>
      <c r="K56" s="33"/>
      <c r="L56" s="33"/>
      <c r="M56" s="33"/>
      <c r="N56" s="33"/>
    </row>
    <row r="57" customFormat="false" ht="15" hidden="false" customHeight="false" outlineLevel="0" collapsed="false">
      <c r="B57" s="7" t="s">
        <v>133</v>
      </c>
      <c r="C57" s="34" t="n">
        <v>2030</v>
      </c>
      <c r="D57" s="33"/>
      <c r="E57" s="33"/>
      <c r="F57" s="33"/>
      <c r="G57" s="33"/>
      <c r="H57" s="33"/>
      <c r="I57" s="33"/>
      <c r="J57" s="33"/>
      <c r="K57" s="33"/>
      <c r="L57" s="33"/>
      <c r="M57" s="33"/>
      <c r="N57" s="33"/>
    </row>
    <row r="58" customFormat="false" ht="15" hidden="false" customHeight="false" outlineLevel="0" collapsed="false">
      <c r="B58" s="7" t="s">
        <v>134</v>
      </c>
      <c r="C58" s="30" t="n">
        <v>0.02</v>
      </c>
      <c r="D58" s="33"/>
      <c r="E58" s="33"/>
      <c r="F58" s="33"/>
      <c r="G58" s="33"/>
      <c r="H58" s="33"/>
      <c r="I58" s="33"/>
      <c r="J58" s="33"/>
      <c r="K58" s="33"/>
      <c r="L58" s="33"/>
      <c r="M58" s="33"/>
      <c r="N58" s="33"/>
    </row>
    <row r="59" customFormat="false" ht="15" hidden="false" customHeight="false" outlineLevel="0" collapsed="false">
      <c r="B59" s="7" t="s">
        <v>135</v>
      </c>
      <c r="C59" s="29" t="n">
        <v>0.03</v>
      </c>
      <c r="D59" s="33"/>
      <c r="E59" s="33"/>
      <c r="F59" s="33"/>
      <c r="G59" s="33"/>
      <c r="H59" s="33"/>
      <c r="I59" s="33"/>
      <c r="J59" s="33"/>
      <c r="K59" s="33"/>
      <c r="L59" s="33"/>
      <c r="M59" s="33"/>
      <c r="N59" s="33"/>
    </row>
    <row r="61" customFormat="false" ht="15" hidden="false" customHeight="false" outlineLevel="0" collapsed="false">
      <c r="B61" s="6" t="s">
        <v>136</v>
      </c>
      <c r="D61" s="36" t="n">
        <v>2026</v>
      </c>
      <c r="E61" s="36" t="n">
        <v>2027</v>
      </c>
      <c r="F61" s="36" t="n">
        <v>2028</v>
      </c>
      <c r="G61" s="36" t="n">
        <v>2029</v>
      </c>
      <c r="H61" s="36" t="n">
        <v>2030</v>
      </c>
      <c r="I61" s="36" t="n">
        <v>2031</v>
      </c>
      <c r="J61" s="36" t="n">
        <v>2032</v>
      </c>
      <c r="K61" s="36" t="n">
        <v>2033</v>
      </c>
      <c r="L61" s="36" t="n">
        <v>2034</v>
      </c>
      <c r="M61" s="36" t="n">
        <v>2035</v>
      </c>
      <c r="N61" s="36" t="n">
        <v>2036</v>
      </c>
      <c r="O61" s="36" t="n">
        <v>2037</v>
      </c>
      <c r="P61" s="36" t="n">
        <v>2038</v>
      </c>
      <c r="Q61" s="36" t="n">
        <v>2039</v>
      </c>
      <c r="R61" s="36" t="n">
        <v>2040</v>
      </c>
      <c r="S61" s="36" t="n">
        <v>2041</v>
      </c>
      <c r="T61" s="36" t="n">
        <v>2042</v>
      </c>
      <c r="U61" s="36" t="n">
        <v>2043</v>
      </c>
      <c r="V61" s="36" t="n">
        <v>2044</v>
      </c>
      <c r="W61" s="36" t="n">
        <v>2045</v>
      </c>
      <c r="X61" s="36" t="n">
        <v>2046</v>
      </c>
      <c r="Y61" s="36" t="n">
        <v>2047</v>
      </c>
      <c r="Z61" s="36" t="n">
        <v>2048</v>
      </c>
      <c r="AA61" s="36" t="n">
        <v>2049</v>
      </c>
      <c r="AB61" s="36" t="n">
        <v>2050</v>
      </c>
      <c r="AC61" s="36" t="n">
        <v>2051</v>
      </c>
      <c r="AD61" s="36" t="n">
        <v>2052</v>
      </c>
      <c r="AE61" s="36" t="n">
        <v>2053</v>
      </c>
      <c r="AF61" s="36" t="n">
        <v>2054</v>
      </c>
      <c r="AG61" s="36" t="n">
        <v>2055</v>
      </c>
      <c r="AH61" s="36" t="n">
        <v>2056</v>
      </c>
      <c r="AI61" s="36" t="n">
        <v>2057</v>
      </c>
      <c r="AJ61" s="36" t="n">
        <v>2058</v>
      </c>
      <c r="AK61" s="36" t="n">
        <v>2059</v>
      </c>
      <c r="AL61" s="36" t="n">
        <v>2060</v>
      </c>
      <c r="AM61" s="36" t="n">
        <v>2061</v>
      </c>
      <c r="AN61" s="36" t="n">
        <v>2062</v>
      </c>
      <c r="AO61" s="36" t="n">
        <v>2063</v>
      </c>
      <c r="AP61" s="36" t="n">
        <v>2064</v>
      </c>
      <c r="AQ61" s="36" t="n">
        <v>2065</v>
      </c>
      <c r="AR61" s="36" t="n">
        <v>2066</v>
      </c>
      <c r="AS61" s="36" t="n">
        <v>2067</v>
      </c>
      <c r="AT61" s="36" t="n">
        <v>2068</v>
      </c>
      <c r="AU61" s="36" t="n">
        <v>2069</v>
      </c>
      <c r="AV61" s="36" t="n">
        <v>2070</v>
      </c>
    </row>
    <row r="62" customFormat="false" ht="15" hidden="false" customHeight="false" outlineLevel="0" collapsed="false">
      <c r="B62" s="7" t="s">
        <v>137</v>
      </c>
      <c r="D62" s="37" t="n">
        <f aca="false">IF($C$55=1,MAX(0,MIN(DATE(D$61,12,31),$C$56)-MAX(Inputs!$C$5+1,DATE(D$61,1,1))+1)/365,IF(D$61&lt;=$C$57,(DATE(D$61,12,31)-MAX(Inputs!$C$5+1,DATE(D$61,1,1))+1)/365,0))</f>
        <v>0.504109589041096</v>
      </c>
      <c r="E62" s="37" t="n">
        <f aca="false">IF($C$55=1,MAX(0,MIN(DATE(E$61,12,31),$C$56)-MAX(Inputs!$C$5+1,DATE(E$61,1,1))+1)/365,IF(E$61&lt;=$C$57,(DATE(E$61,12,31)-MAX(Inputs!$C$5+1,DATE(E$61,1,1))+1)/365,0))</f>
        <v>1</v>
      </c>
      <c r="F62" s="37" t="n">
        <f aca="false">IF($C$55=1,MAX(0,MIN(DATE(F$61,12,31),$C$56)-MAX(Inputs!$C$5+1,DATE(F$61,1,1))+1)/365,IF(F$61&lt;=$C$57,(DATE(F$61,12,31)-MAX(Inputs!$C$5+1,DATE(F$61,1,1))+1)/365,0))</f>
        <v>1.0027397260274</v>
      </c>
      <c r="G62" s="37" t="n">
        <f aca="false">IF($C$55=1,MAX(0,MIN(DATE(G$61,12,31),$C$56)-MAX(Inputs!$C$5+1,DATE(G$61,1,1))+1)/365,IF(G$61&lt;=$C$57,(DATE(G$61,12,31)-MAX(Inputs!$C$5+1,DATE(G$61,1,1))+1)/365,0))</f>
        <v>1</v>
      </c>
      <c r="H62" s="37" t="n">
        <f aca="false">IF($C$55=1,MAX(0,MIN(DATE(H$61,12,31),$C$56)-MAX(Inputs!$C$5+1,DATE(H$61,1,1))+1)/365,IF(H$61&lt;=$C$57,(DATE(H$61,12,31)-MAX(Inputs!$C$5+1,DATE(H$61,1,1))+1)/365,0))</f>
        <v>1</v>
      </c>
      <c r="I62" s="37" t="n">
        <f aca="false">IF($C$55=1,MAX(0,MIN(DATE(I$61,12,31),$C$56)-MAX(Inputs!$C$5+1,DATE(I$61,1,1))+1)/365,IF(I$61&lt;=$C$57,(DATE(I$61,12,31)-MAX(Inputs!$C$5+1,DATE(I$61,1,1))+1)/365,0))</f>
        <v>0</v>
      </c>
      <c r="J62" s="37" t="n">
        <f aca="false">IF($C$55=1,MAX(0,MIN(DATE(J$61,12,31),$C$56)-MAX(Inputs!$C$5+1,DATE(J$61,1,1))+1)/365,IF(J$61&lt;=$C$57,(DATE(J$61,12,31)-MAX(Inputs!$C$5+1,DATE(J$61,1,1))+1)/365,0))</f>
        <v>0</v>
      </c>
      <c r="K62" s="37" t="n">
        <f aca="false">IF($C$55=1,MAX(0,MIN(DATE(K$61,12,31),$C$56)-MAX(Inputs!$C$5+1,DATE(K$61,1,1))+1)/365,IF(K$61&lt;=$C$57,(DATE(K$61,12,31)-MAX(Inputs!$C$5+1,DATE(K$61,1,1))+1)/365,0))</f>
        <v>0</v>
      </c>
      <c r="L62" s="37" t="n">
        <f aca="false">IF($C$55=1,MAX(0,MIN(DATE(L$61,12,31),$C$56)-MAX(Inputs!$C$5+1,DATE(L$61,1,1))+1)/365,IF(L$61&lt;=$C$57,(DATE(L$61,12,31)-MAX(Inputs!$C$5+1,DATE(L$61,1,1))+1)/365,0))</f>
        <v>0</v>
      </c>
      <c r="M62" s="37" t="n">
        <f aca="false">IF($C$55=1,MAX(0,MIN(DATE(M$61,12,31),$C$56)-MAX(Inputs!$C$5+1,DATE(M$61,1,1))+1)/365,IF(M$61&lt;=$C$57,(DATE(M$61,12,31)-MAX(Inputs!$C$5+1,DATE(M$61,1,1))+1)/365,0))</f>
        <v>0</v>
      </c>
      <c r="N62" s="37" t="n">
        <f aca="false">IF($C$55=1,MAX(0,MIN(DATE(N$61,12,31),$C$56)-MAX(Inputs!$C$5+1,DATE(N$61,1,1))+1)/365,IF(N$61&lt;=$C$57,(DATE(N$61,12,31)-MAX(Inputs!$C$5+1,DATE(N$61,1,1))+1)/365,0))</f>
        <v>0</v>
      </c>
      <c r="O62" s="37" t="n">
        <f aca="false">IF($C$55=1,MAX(0,MIN(DATE(O$61,12,31),$C$56)-MAX(Inputs!$C$5+1,DATE(O$61,1,1))+1)/365,IF(O$61&lt;=$C$57,(DATE(O$61,12,31)-MAX(Inputs!$C$5+1,DATE(O$61,1,1))+1)/365,0))</f>
        <v>0</v>
      </c>
      <c r="P62" s="37" t="n">
        <f aca="false">IF($C$55=1,MAX(0,MIN(DATE(P$61,12,31),$C$56)-MAX(Inputs!$C$5+1,DATE(P$61,1,1))+1)/365,IF(P$61&lt;=$C$57,(DATE(P$61,12,31)-MAX(Inputs!$C$5+1,DATE(P$61,1,1))+1)/365,0))</f>
        <v>0</v>
      </c>
      <c r="Q62" s="37" t="n">
        <f aca="false">IF($C$55=1,MAX(0,MIN(DATE(Q$61,12,31),$C$56)-MAX(Inputs!$C$5+1,DATE(Q$61,1,1))+1)/365,IF(Q$61&lt;=$C$57,(DATE(Q$61,12,31)-MAX(Inputs!$C$5+1,DATE(Q$61,1,1))+1)/365,0))</f>
        <v>0</v>
      </c>
      <c r="R62" s="37" t="n">
        <f aca="false">IF($C$55=1,MAX(0,MIN(DATE(R$61,12,31),$C$56)-MAX(Inputs!$C$5+1,DATE(R$61,1,1))+1)/365,IF(R$61&lt;=$C$57,(DATE(R$61,12,31)-MAX(Inputs!$C$5+1,DATE(R$61,1,1))+1)/365,0))</f>
        <v>0</v>
      </c>
      <c r="S62" s="37" t="n">
        <f aca="false">IF($C$55=1,MAX(0,MIN(DATE(S$61,12,31),$C$56)-MAX(Inputs!$C$5+1,DATE(S$61,1,1))+1)/365,IF(S$61&lt;=$C$57,(DATE(S$61,12,31)-MAX(Inputs!$C$5+1,DATE(S$61,1,1))+1)/365,0))</f>
        <v>0</v>
      </c>
      <c r="T62" s="37" t="n">
        <f aca="false">IF($C$55=1,MAX(0,MIN(DATE(T$61,12,31),$C$56)-MAX(Inputs!$C$5+1,DATE(T$61,1,1))+1)/365,IF(T$61&lt;=$C$57,(DATE(T$61,12,31)-MAX(Inputs!$C$5+1,DATE(T$61,1,1))+1)/365,0))</f>
        <v>0</v>
      </c>
      <c r="U62" s="37" t="n">
        <f aca="false">IF($C$55=1,MAX(0,MIN(DATE(U$61,12,31),$C$56)-MAX(Inputs!$C$5+1,DATE(U$61,1,1))+1)/365,IF(U$61&lt;=$C$57,(DATE(U$61,12,31)-MAX(Inputs!$C$5+1,DATE(U$61,1,1))+1)/365,0))</f>
        <v>0</v>
      </c>
      <c r="V62" s="37" t="n">
        <f aca="false">IF($C$55=1,MAX(0,MIN(DATE(V$61,12,31),$C$56)-MAX(Inputs!$C$5+1,DATE(V$61,1,1))+1)/365,IF(V$61&lt;=$C$57,(DATE(V$61,12,31)-MAX(Inputs!$C$5+1,DATE(V$61,1,1))+1)/365,0))</f>
        <v>0</v>
      </c>
      <c r="W62" s="37" t="n">
        <f aca="false">IF($C$55=1,MAX(0,MIN(DATE(W$61,12,31),$C$56)-MAX(Inputs!$C$5+1,DATE(W$61,1,1))+1)/365,IF(W$61&lt;=$C$57,(DATE(W$61,12,31)-MAX(Inputs!$C$5+1,DATE(W$61,1,1))+1)/365,0))</f>
        <v>0</v>
      </c>
      <c r="X62" s="37" t="n">
        <f aca="false">IF($C$55=1,MAX(0,MIN(DATE(X$61,12,31),$C$56)-MAX(Inputs!$C$5+1,DATE(X$61,1,1))+1)/365,IF(X$61&lt;=$C$57,(DATE(X$61,12,31)-MAX(Inputs!$C$5+1,DATE(X$61,1,1))+1)/365,0))</f>
        <v>0</v>
      </c>
      <c r="Y62" s="37" t="n">
        <f aca="false">IF($C$55=1,MAX(0,MIN(DATE(Y$61,12,31),$C$56)-MAX(Inputs!$C$5+1,DATE(Y$61,1,1))+1)/365,IF(Y$61&lt;=$C$57,(DATE(Y$61,12,31)-MAX(Inputs!$C$5+1,DATE(Y$61,1,1))+1)/365,0))</f>
        <v>0</v>
      </c>
      <c r="Z62" s="37" t="n">
        <f aca="false">IF($C$55=1,MAX(0,MIN(DATE(Z$61,12,31),$C$56)-MAX(Inputs!$C$5+1,DATE(Z$61,1,1))+1)/365,IF(Z$61&lt;=$C$57,(DATE(Z$61,12,31)-MAX(Inputs!$C$5+1,DATE(Z$61,1,1))+1)/365,0))</f>
        <v>0</v>
      </c>
      <c r="AA62" s="37" t="n">
        <f aca="false">IF($C$55=1,MAX(0,MIN(DATE(AA$61,12,31),$C$56)-MAX(Inputs!$C$5+1,DATE(AA$61,1,1))+1)/365,IF(AA$61&lt;=$C$57,(DATE(AA$61,12,31)-MAX(Inputs!$C$5+1,DATE(AA$61,1,1))+1)/365,0))</f>
        <v>0</v>
      </c>
      <c r="AB62" s="37" t="n">
        <f aca="false">IF($C$55=1,MAX(0,MIN(DATE(AB$61,12,31),$C$56)-MAX(Inputs!$C$5+1,DATE(AB$61,1,1))+1)/365,IF(AB$61&lt;=$C$57,(DATE(AB$61,12,31)-MAX(Inputs!$C$5+1,DATE(AB$61,1,1))+1)/365,0))</f>
        <v>0</v>
      </c>
      <c r="AC62" s="37" t="n">
        <f aca="false">IF($C$55=1,MAX(0,MIN(DATE(AC$61,12,31),$C$56)-MAX(Inputs!$C$5+1,DATE(AC$61,1,1))+1)/365,IF(AC$61&lt;=$C$57,(DATE(AC$61,12,31)-MAX(Inputs!$C$5+1,DATE(AC$61,1,1))+1)/365,0))</f>
        <v>0</v>
      </c>
      <c r="AD62" s="37" t="n">
        <f aca="false">IF($C$55=1,MAX(0,MIN(DATE(AD$61,12,31),$C$56)-MAX(Inputs!$C$5+1,DATE(AD$61,1,1))+1)/365,IF(AD$61&lt;=$C$57,(DATE(AD$61,12,31)-MAX(Inputs!$C$5+1,DATE(AD$61,1,1))+1)/365,0))</f>
        <v>0</v>
      </c>
      <c r="AE62" s="37" t="n">
        <f aca="false">IF($C$55=1,MAX(0,MIN(DATE(AE$61,12,31),$C$56)-MAX(Inputs!$C$5+1,DATE(AE$61,1,1))+1)/365,IF(AE$61&lt;=$C$57,(DATE(AE$61,12,31)-MAX(Inputs!$C$5+1,DATE(AE$61,1,1))+1)/365,0))</f>
        <v>0</v>
      </c>
      <c r="AF62" s="37" t="n">
        <f aca="false">IF($C$55=1,MAX(0,MIN(DATE(AF$61,12,31),$C$56)-MAX(Inputs!$C$5+1,DATE(AF$61,1,1))+1)/365,IF(AF$61&lt;=$C$57,(DATE(AF$61,12,31)-MAX(Inputs!$C$5+1,DATE(AF$61,1,1))+1)/365,0))</f>
        <v>0</v>
      </c>
      <c r="AG62" s="37" t="n">
        <f aca="false">IF($C$55=1,MAX(0,MIN(DATE(AG$61,12,31),$C$56)-MAX(Inputs!$C$5+1,DATE(AG$61,1,1))+1)/365,IF(AG$61&lt;=$C$57,(DATE(AG$61,12,31)-MAX(Inputs!$C$5+1,DATE(AG$61,1,1))+1)/365,0))</f>
        <v>0</v>
      </c>
      <c r="AH62" s="37" t="n">
        <f aca="false">IF($C$55=1,MAX(0,MIN(DATE(AH$61,12,31),$C$56)-MAX(Inputs!$C$5+1,DATE(AH$61,1,1))+1)/365,IF(AH$61&lt;=$C$57,(DATE(AH$61,12,31)-MAX(Inputs!$C$5+1,DATE(AH$61,1,1))+1)/365,0))</f>
        <v>0</v>
      </c>
      <c r="AI62" s="37" t="n">
        <f aca="false">IF($C$55=1,MAX(0,MIN(DATE(AI$61,12,31),$C$56)-MAX(Inputs!$C$5+1,DATE(AI$61,1,1))+1)/365,IF(AI$61&lt;=$C$57,(DATE(AI$61,12,31)-MAX(Inputs!$C$5+1,DATE(AI$61,1,1))+1)/365,0))</f>
        <v>0</v>
      </c>
      <c r="AJ62" s="37" t="n">
        <f aca="false">IF($C$55=1,MAX(0,MIN(DATE(AJ$61,12,31),$C$56)-MAX(Inputs!$C$5+1,DATE(AJ$61,1,1))+1)/365,IF(AJ$61&lt;=$C$57,(DATE(AJ$61,12,31)-MAX(Inputs!$C$5+1,DATE(AJ$61,1,1))+1)/365,0))</f>
        <v>0</v>
      </c>
      <c r="AK62" s="37" t="n">
        <f aca="false">IF($C$55=1,MAX(0,MIN(DATE(AK$61,12,31),$C$56)-MAX(Inputs!$C$5+1,DATE(AK$61,1,1))+1)/365,IF(AK$61&lt;=$C$57,(DATE(AK$61,12,31)-MAX(Inputs!$C$5+1,DATE(AK$61,1,1))+1)/365,0))</f>
        <v>0</v>
      </c>
      <c r="AL62" s="37" t="n">
        <f aca="false">IF($C$55=1,MAX(0,MIN(DATE(AL$61,12,31),$C$56)-MAX(Inputs!$C$5+1,DATE(AL$61,1,1))+1)/365,IF(AL$61&lt;=$C$57,(DATE(AL$61,12,31)-MAX(Inputs!$C$5+1,DATE(AL$61,1,1))+1)/365,0))</f>
        <v>0</v>
      </c>
      <c r="AM62" s="37" t="n">
        <f aca="false">IF($C$55=1,MAX(0,MIN(DATE(AM$61,12,31),$C$56)-MAX(Inputs!$C$5+1,DATE(AM$61,1,1))+1)/365,IF(AM$61&lt;=$C$57,(DATE(AM$61,12,31)-MAX(Inputs!$C$5+1,DATE(AM$61,1,1))+1)/365,0))</f>
        <v>0</v>
      </c>
      <c r="AN62" s="37" t="n">
        <f aca="false">IF($C$55=1,MAX(0,MIN(DATE(AN$61,12,31),$C$56)-MAX(Inputs!$C$5+1,DATE(AN$61,1,1))+1)/365,IF(AN$61&lt;=$C$57,(DATE(AN$61,12,31)-MAX(Inputs!$C$5+1,DATE(AN$61,1,1))+1)/365,0))</f>
        <v>0</v>
      </c>
      <c r="AO62" s="37" t="n">
        <f aca="false">IF($C$55=1,MAX(0,MIN(DATE(AO$61,12,31),$C$56)-MAX(Inputs!$C$5+1,DATE(AO$61,1,1))+1)/365,IF(AO$61&lt;=$C$57,(DATE(AO$61,12,31)-MAX(Inputs!$C$5+1,DATE(AO$61,1,1))+1)/365,0))</f>
        <v>0</v>
      </c>
      <c r="AP62" s="37" t="n">
        <f aca="false">IF($C$55=1,MAX(0,MIN(DATE(AP$61,12,31),$C$56)-MAX(Inputs!$C$5+1,DATE(AP$61,1,1))+1)/365,IF(AP$61&lt;=$C$57,(DATE(AP$61,12,31)-MAX(Inputs!$C$5+1,DATE(AP$61,1,1))+1)/365,0))</f>
        <v>0</v>
      </c>
      <c r="AQ62" s="37" t="n">
        <f aca="false">IF($C$55=1,MAX(0,MIN(DATE(AQ$61,12,31),$C$56)-MAX(Inputs!$C$5+1,DATE(AQ$61,1,1))+1)/365,IF(AQ$61&lt;=$C$57,(DATE(AQ$61,12,31)-MAX(Inputs!$C$5+1,DATE(AQ$61,1,1))+1)/365,0))</f>
        <v>0</v>
      </c>
      <c r="AR62" s="37" t="n">
        <f aca="false">IF($C$55=1,MAX(0,MIN(DATE(AR$61,12,31),$C$56)-MAX(Inputs!$C$5+1,DATE(AR$61,1,1))+1)/365,IF(AR$61&lt;=$C$57,(DATE(AR$61,12,31)-MAX(Inputs!$C$5+1,DATE(AR$61,1,1))+1)/365,0))</f>
        <v>0</v>
      </c>
      <c r="AS62" s="37" t="n">
        <f aca="false">IF($C$55=1,MAX(0,MIN(DATE(AS$61,12,31),$C$56)-MAX(Inputs!$C$5+1,DATE(AS$61,1,1))+1)/365,IF(AS$61&lt;=$C$57,(DATE(AS$61,12,31)-MAX(Inputs!$C$5+1,DATE(AS$61,1,1))+1)/365,0))</f>
        <v>0</v>
      </c>
      <c r="AT62" s="37" t="n">
        <f aca="false">IF($C$55=1,MAX(0,MIN(DATE(AT$61,12,31),$C$56)-MAX(Inputs!$C$5+1,DATE(AT$61,1,1))+1)/365,IF(AT$61&lt;=$C$57,(DATE(AT$61,12,31)-MAX(Inputs!$C$5+1,DATE(AT$61,1,1))+1)/365,0))</f>
        <v>0</v>
      </c>
      <c r="AU62" s="37" t="n">
        <f aca="false">IF($C$55=1,MAX(0,MIN(DATE(AU$61,12,31),$C$56)-MAX(Inputs!$C$5+1,DATE(AU$61,1,1))+1)/365,IF(AU$61&lt;=$C$57,(DATE(AU$61,12,31)-MAX(Inputs!$C$5+1,DATE(AU$61,1,1))+1)/365,0))</f>
        <v>0</v>
      </c>
      <c r="AV62" s="37" t="n">
        <f aca="false">IF($C$55=1,MAX(0,MIN(DATE(AV$61,12,31),$C$56)-MAX(Inputs!$C$5+1,DATE(AV$61,1,1))+1)/365,IF(AV$61&lt;=$C$57,(DATE(AV$61,12,31)-MAX(Inputs!$C$5+1,DATE(AV$61,1,1))+1)/365,0))</f>
        <v>0</v>
      </c>
    </row>
    <row r="63" customFormat="false" ht="15" hidden="false" customHeight="false" outlineLevel="0" collapsed="false">
      <c r="B63" s="7" t="s">
        <v>138</v>
      </c>
      <c r="D63" s="16" t="n">
        <f aca="false">$C$47*(1+$C$48)</f>
        <v>8484.24</v>
      </c>
      <c r="E63" s="16" t="n">
        <f aca="false">D63*(1+$C$49)</f>
        <v>8908.452</v>
      </c>
      <c r="F63" s="16" t="n">
        <f aca="false">E63*(1+$C$49)</f>
        <v>9353.8746</v>
      </c>
      <c r="G63" s="16" t="n">
        <f aca="false">F63*(1+$C$49)</f>
        <v>9821.56833</v>
      </c>
      <c r="H63" s="16" t="n">
        <f aca="false">G63*(1+$C$49)</f>
        <v>10312.6467465</v>
      </c>
      <c r="I63" s="16" t="n">
        <f aca="false">H63*(1+$C$49)</f>
        <v>10828.279083825</v>
      </c>
      <c r="J63" s="16" t="n">
        <f aca="false">I63*(1+$C$49)</f>
        <v>11369.6930380163</v>
      </c>
      <c r="K63" s="16" t="n">
        <f aca="false">J63*(1+$C$49)</f>
        <v>11938.1776899171</v>
      </c>
      <c r="L63" s="16" t="n">
        <f aca="false">K63*(1+$C$49)</f>
        <v>12535.0865744129</v>
      </c>
      <c r="M63" s="16" t="n">
        <f aca="false">L63*(1+$C$49)</f>
        <v>13161.8409031336</v>
      </c>
      <c r="N63" s="16" t="n">
        <f aca="false">M63*(1+$C$49)</f>
        <v>13819.9329482902</v>
      </c>
      <c r="O63" s="16" t="n">
        <f aca="false">N63*(1+$C$49)</f>
        <v>14510.9295957048</v>
      </c>
      <c r="P63" s="16" t="n">
        <f aca="false">O63*(1+$C$49)</f>
        <v>15236.47607549</v>
      </c>
      <c r="Q63" s="16" t="n">
        <f aca="false">P63*(1+$C$49)</f>
        <v>15998.2998792645</v>
      </c>
      <c r="R63" s="16" t="n">
        <f aca="false">Q63*(1+$C$49)</f>
        <v>16798.2148732277</v>
      </c>
      <c r="S63" s="16" t="n">
        <f aca="false">R63*(1+$C$49)</f>
        <v>17638.1256168891</v>
      </c>
      <c r="T63" s="16" t="n">
        <f aca="false">S63*(1+$C$49)</f>
        <v>18520.0318977336</v>
      </c>
      <c r="U63" s="16" t="n">
        <f aca="false">T63*(1+$C$49)</f>
        <v>19446.0334926202</v>
      </c>
      <c r="V63" s="16" t="n">
        <f aca="false">U63*(1+$C$49)</f>
        <v>20418.3351672512</v>
      </c>
      <c r="W63" s="16" t="n">
        <f aca="false">V63*(1+$C$49)</f>
        <v>21439.2519256138</v>
      </c>
      <c r="X63" s="16" t="n">
        <f aca="false">W63*(1+$C$49)</f>
        <v>22511.2145218945</v>
      </c>
      <c r="Y63" s="16" t="n">
        <f aca="false">X63*(1+$C$49)</f>
        <v>23636.7752479892</v>
      </c>
      <c r="Z63" s="16" t="n">
        <f aca="false">Y63*(1+$C$49)</f>
        <v>24818.6140103887</v>
      </c>
      <c r="AA63" s="16" t="n">
        <f aca="false">Z63*(1+$C$49)</f>
        <v>26059.5447109081</v>
      </c>
      <c r="AB63" s="16" t="n">
        <f aca="false">AA63*(1+$C$49)</f>
        <v>27362.5219464535</v>
      </c>
      <c r="AC63" s="16" t="n">
        <f aca="false">AB63*(1+$C$49)</f>
        <v>28730.6480437762</v>
      </c>
      <c r="AD63" s="16" t="n">
        <f aca="false">AC63*(1+$C$49)</f>
        <v>30167.180445965</v>
      </c>
      <c r="AE63" s="16" t="n">
        <f aca="false">AD63*(1+$C$49)</f>
        <v>31675.5394682633</v>
      </c>
      <c r="AF63" s="16" t="n">
        <f aca="false">AE63*(1+$C$49)</f>
        <v>33259.3164416765</v>
      </c>
      <c r="AG63" s="16" t="n">
        <f aca="false">AF63*(1+$C$49)</f>
        <v>34922.2822637603</v>
      </c>
      <c r="AH63" s="16" t="n">
        <f aca="false">AG63*(1+$C$49)</f>
        <v>36668.3963769483</v>
      </c>
      <c r="AI63" s="16" t="n">
        <f aca="false">AH63*(1+$C$49)</f>
        <v>38501.8161957957</v>
      </c>
      <c r="AJ63" s="16" t="n">
        <f aca="false">AI63*(1+$C$49)</f>
        <v>40426.9070055855</v>
      </c>
      <c r="AK63" s="16" t="n">
        <f aca="false">AJ63*(1+$C$49)</f>
        <v>42448.2523558648</v>
      </c>
      <c r="AL63" s="16" t="n">
        <f aca="false">AK63*(1+$C$49)</f>
        <v>44570.664973658</v>
      </c>
      <c r="AM63" s="16" t="n">
        <f aca="false">AL63*(1+$C$49)</f>
        <v>46799.1982223409</v>
      </c>
      <c r="AN63" s="16" t="n">
        <f aca="false">AM63*(1+$C$49)</f>
        <v>49139.158133458</v>
      </c>
      <c r="AO63" s="16" t="n">
        <f aca="false">AN63*(1+$C$49)</f>
        <v>51596.1160401309</v>
      </c>
      <c r="AP63" s="16" t="n">
        <f aca="false">AO63*(1+$C$49)</f>
        <v>54175.9218421374</v>
      </c>
      <c r="AQ63" s="16" t="n">
        <f aca="false">AP63*(1+$C$49)</f>
        <v>56884.7179342443</v>
      </c>
      <c r="AR63" s="16" t="n">
        <f aca="false">AQ63*(1+$C$49)</f>
        <v>59728.9538309565</v>
      </c>
      <c r="AS63" s="16" t="n">
        <f aca="false">AR63*(1+$C$49)</f>
        <v>62715.4015225043</v>
      </c>
      <c r="AT63" s="16" t="n">
        <f aca="false">AS63*(1+$C$49)</f>
        <v>65851.1715986295</v>
      </c>
      <c r="AU63" s="16" t="n">
        <f aca="false">AT63*(1+$C$49)</f>
        <v>69143.730178561</v>
      </c>
      <c r="AV63" s="16" t="n">
        <f aca="false">AU63*(1+$C$49)</f>
        <v>72600.9166874891</v>
      </c>
    </row>
    <row r="64" customFormat="false" ht="15" hidden="false" customHeight="false" outlineLevel="0" collapsed="false">
      <c r="B64" s="7" t="s">
        <v>139</v>
      </c>
      <c r="D64" s="16" t="n">
        <f aca="false">D63*$C$50</f>
        <v>833.152368</v>
      </c>
      <c r="E64" s="16" t="n">
        <f aca="false">E63*$C$50</f>
        <v>874.8099864</v>
      </c>
      <c r="F64" s="16" t="n">
        <f aca="false">F63*$C$50</f>
        <v>918.55048572</v>
      </c>
      <c r="G64" s="16" t="n">
        <f aca="false">G63*$C$50</f>
        <v>964.478010006</v>
      </c>
      <c r="H64" s="16" t="n">
        <f aca="false">H63*$C$50</f>
        <v>1012.7019105063</v>
      </c>
      <c r="I64" s="16" t="n">
        <f aca="false">I63*$C$50</f>
        <v>1063.33700603162</v>
      </c>
      <c r="J64" s="16" t="n">
        <f aca="false">J63*$C$50</f>
        <v>1116.5038563332</v>
      </c>
      <c r="K64" s="16" t="n">
        <f aca="false">K63*$C$50</f>
        <v>1172.32904914986</v>
      </c>
      <c r="L64" s="16" t="n">
        <f aca="false">L63*$C$50</f>
        <v>1230.94550160735</v>
      </c>
      <c r="M64" s="16" t="n">
        <f aca="false">M63*$C$50</f>
        <v>1292.49277668772</v>
      </c>
      <c r="N64" s="16" t="n">
        <f aca="false">N63*$C$50</f>
        <v>1357.1174155221</v>
      </c>
      <c r="O64" s="16" t="n">
        <f aca="false">O63*$C$50</f>
        <v>1424.97328629821</v>
      </c>
      <c r="P64" s="16" t="n">
        <f aca="false">P63*$C$50</f>
        <v>1496.22195061312</v>
      </c>
      <c r="Q64" s="16" t="n">
        <f aca="false">Q63*$C$50</f>
        <v>1571.03304814377</v>
      </c>
      <c r="R64" s="16" t="n">
        <f aca="false">R63*$C$50</f>
        <v>1649.58470055096</v>
      </c>
      <c r="S64" s="16" t="n">
        <f aca="false">S63*$C$50</f>
        <v>1732.06393557851</v>
      </c>
      <c r="T64" s="16" t="n">
        <f aca="false">T63*$C$50</f>
        <v>1818.66713235744</v>
      </c>
      <c r="U64" s="16" t="n">
        <f aca="false">U63*$C$50</f>
        <v>1909.60048897531</v>
      </c>
      <c r="V64" s="16" t="n">
        <f aca="false">V63*$C$50</f>
        <v>2005.08051342407</v>
      </c>
      <c r="W64" s="16" t="n">
        <f aca="false">W63*$C$50</f>
        <v>2105.33453909528</v>
      </c>
      <c r="X64" s="16" t="n">
        <f aca="false">X63*$C$50</f>
        <v>2210.60126605004</v>
      </c>
      <c r="Y64" s="16" t="n">
        <f aca="false">Y63*$C$50</f>
        <v>2321.13132935254</v>
      </c>
      <c r="Z64" s="16" t="n">
        <f aca="false">Z63*$C$50</f>
        <v>2437.18789582017</v>
      </c>
      <c r="AA64" s="16" t="n">
        <f aca="false">AA63*$C$50</f>
        <v>2559.04729061118</v>
      </c>
      <c r="AB64" s="16" t="n">
        <f aca="false">AB63*$C$50</f>
        <v>2686.99965514174</v>
      </c>
      <c r="AC64" s="16" t="n">
        <f aca="false">AC63*$C$50</f>
        <v>2821.34963789882</v>
      </c>
      <c r="AD64" s="16" t="n">
        <f aca="false">AD63*$C$50</f>
        <v>2962.41711979377</v>
      </c>
      <c r="AE64" s="16" t="n">
        <f aca="false">AE63*$C$50</f>
        <v>3110.53797578345</v>
      </c>
      <c r="AF64" s="16" t="n">
        <f aca="false">AF63*$C$50</f>
        <v>3266.06487457263</v>
      </c>
      <c r="AG64" s="16" t="n">
        <f aca="false">AG63*$C$50</f>
        <v>3429.36811830126</v>
      </c>
      <c r="AH64" s="16" t="n">
        <f aca="false">AH63*$C$50</f>
        <v>3600.83652421632</v>
      </c>
      <c r="AI64" s="16" t="n">
        <f aca="false">AI63*$C$50</f>
        <v>3780.87835042714</v>
      </c>
      <c r="AJ64" s="16" t="n">
        <f aca="false">AJ63*$C$50</f>
        <v>3969.9222679485</v>
      </c>
      <c r="AK64" s="16" t="n">
        <f aca="false">AK63*$C$50</f>
        <v>4168.41838134592</v>
      </c>
      <c r="AL64" s="16" t="n">
        <f aca="false">AL63*$C$50</f>
        <v>4376.83930041322</v>
      </c>
      <c r="AM64" s="16" t="n">
        <f aca="false">AM63*$C$50</f>
        <v>4595.68126543388</v>
      </c>
      <c r="AN64" s="16" t="n">
        <f aca="false">AN63*$C$50</f>
        <v>4825.46532870557</v>
      </c>
      <c r="AO64" s="16" t="n">
        <f aca="false">AO63*$C$50</f>
        <v>5066.73859514085</v>
      </c>
      <c r="AP64" s="16" t="n">
        <f aca="false">AP63*$C$50</f>
        <v>5320.07552489789</v>
      </c>
      <c r="AQ64" s="16" t="n">
        <f aca="false">AQ63*$C$50</f>
        <v>5586.07930114279</v>
      </c>
      <c r="AR64" s="16" t="n">
        <f aca="false">AR63*$C$50</f>
        <v>5865.38326619993</v>
      </c>
      <c r="AS64" s="16" t="n">
        <f aca="false">AS63*$C$50</f>
        <v>6158.65242950992</v>
      </c>
      <c r="AT64" s="16" t="n">
        <f aca="false">AT63*$C$50</f>
        <v>6466.58505098542</v>
      </c>
      <c r="AU64" s="16" t="n">
        <f aca="false">AU63*$C$50</f>
        <v>6789.91430353469</v>
      </c>
      <c r="AV64" s="16" t="n">
        <f aca="false">AV63*$C$50</f>
        <v>7129.41001871143</v>
      </c>
    </row>
    <row r="65" customFormat="false" ht="15" hidden="false" customHeight="false" outlineLevel="0" collapsed="false">
      <c r="B65" s="7" t="s">
        <v>140</v>
      </c>
      <c r="D65" s="16" t="n">
        <f aca="false">-D63*$C$51</f>
        <v>-181.562736</v>
      </c>
      <c r="E65" s="16" t="n">
        <f aca="false">-E63*$C$51</f>
        <v>-190.6408728</v>
      </c>
      <c r="F65" s="16" t="n">
        <f aca="false">-F63*$C$51</f>
        <v>-200.17291644</v>
      </c>
      <c r="G65" s="16" t="n">
        <f aca="false">-G63*$C$51</f>
        <v>-210.181562262</v>
      </c>
      <c r="H65" s="16" t="n">
        <f aca="false">-H63*$C$51</f>
        <v>-220.6906403751</v>
      </c>
      <c r="I65" s="16" t="n">
        <f aca="false">-I63*$C$51</f>
        <v>-231.725172393855</v>
      </c>
      <c r="J65" s="16" t="n">
        <f aca="false">-J63*$C$51</f>
        <v>-243.311431013548</v>
      </c>
      <c r="K65" s="16" t="n">
        <f aca="false">-K63*$C$51</f>
        <v>-255.477002564225</v>
      </c>
      <c r="L65" s="16" t="n">
        <f aca="false">-L63*$C$51</f>
        <v>-268.250852692436</v>
      </c>
      <c r="M65" s="16" t="n">
        <f aca="false">-M63*$C$51</f>
        <v>-281.663395327058</v>
      </c>
      <c r="N65" s="16" t="n">
        <f aca="false">-N63*$C$51</f>
        <v>-295.746565093411</v>
      </c>
      <c r="O65" s="16" t="n">
        <f aca="false">-O63*$C$51</f>
        <v>-310.533893348082</v>
      </c>
      <c r="P65" s="16" t="n">
        <f aca="false">-P63*$C$51</f>
        <v>-326.060588015486</v>
      </c>
      <c r="Q65" s="16" t="n">
        <f aca="false">-Q63*$C$51</f>
        <v>-342.36361741626</v>
      </c>
      <c r="R65" s="16" t="n">
        <f aca="false">-R63*$C$51</f>
        <v>-359.481798287073</v>
      </c>
      <c r="S65" s="16" t="n">
        <f aca="false">-S63*$C$51</f>
        <v>-377.455888201427</v>
      </c>
      <c r="T65" s="16" t="n">
        <f aca="false">-T63*$C$51</f>
        <v>-396.328682611498</v>
      </c>
      <c r="U65" s="16" t="n">
        <f aca="false">-U63*$C$51</f>
        <v>-416.145116742073</v>
      </c>
      <c r="V65" s="16" t="n">
        <f aca="false">-V63*$C$51</f>
        <v>-436.952372579177</v>
      </c>
      <c r="W65" s="16" t="n">
        <f aca="false">-W63*$C$51</f>
        <v>-458.799991208136</v>
      </c>
      <c r="X65" s="16" t="n">
        <f aca="false">-X63*$C$51</f>
        <v>-481.739990768542</v>
      </c>
      <c r="Y65" s="16" t="n">
        <f aca="false">-Y63*$C$51</f>
        <v>-505.82699030697</v>
      </c>
      <c r="Z65" s="16" t="n">
        <f aca="false">-Z63*$C$51</f>
        <v>-531.118339822318</v>
      </c>
      <c r="AA65" s="16" t="n">
        <f aca="false">-AA63*$C$51</f>
        <v>-557.674256813434</v>
      </c>
      <c r="AB65" s="16" t="n">
        <f aca="false">-AB63*$C$51</f>
        <v>-585.557969654106</v>
      </c>
      <c r="AC65" s="16" t="n">
        <f aca="false">-AC63*$C$51</f>
        <v>-614.835868136811</v>
      </c>
      <c r="AD65" s="16" t="n">
        <f aca="false">-AD63*$C$51</f>
        <v>-645.577661543652</v>
      </c>
      <c r="AE65" s="16" t="n">
        <f aca="false">-AE63*$C$51</f>
        <v>-677.856544620834</v>
      </c>
      <c r="AF65" s="16" t="n">
        <f aca="false">-AF63*$C$51</f>
        <v>-711.749371851876</v>
      </c>
      <c r="AG65" s="16" t="n">
        <f aca="false">-AG63*$C$51</f>
        <v>-747.33684044447</v>
      </c>
      <c r="AH65" s="16" t="n">
        <f aca="false">-AH63*$C$51</f>
        <v>-784.703682466693</v>
      </c>
      <c r="AI65" s="16" t="n">
        <f aca="false">-AI63*$C$51</f>
        <v>-823.938866590028</v>
      </c>
      <c r="AJ65" s="16" t="n">
        <f aca="false">-AJ63*$C$51</f>
        <v>-865.13580991953</v>
      </c>
      <c r="AK65" s="16" t="n">
        <f aca="false">-AK63*$C$51</f>
        <v>-908.392600415506</v>
      </c>
      <c r="AL65" s="16" t="n">
        <f aca="false">-AL63*$C$51</f>
        <v>-953.812230436281</v>
      </c>
      <c r="AM65" s="16" t="n">
        <f aca="false">-AM63*$C$51</f>
        <v>-1001.5028419581</v>
      </c>
      <c r="AN65" s="16" t="n">
        <f aca="false">-AN63*$C$51</f>
        <v>-1051.577984056</v>
      </c>
      <c r="AO65" s="16" t="n">
        <f aca="false">-AO63*$C$51</f>
        <v>-1104.1568832588</v>
      </c>
      <c r="AP65" s="16" t="n">
        <f aca="false">-AP63*$C$51</f>
        <v>-1159.36472742174</v>
      </c>
      <c r="AQ65" s="16" t="n">
        <f aca="false">-AQ63*$C$51</f>
        <v>-1217.33296379283</v>
      </c>
      <c r="AR65" s="16" t="n">
        <f aca="false">-AR63*$C$51</f>
        <v>-1278.19961198247</v>
      </c>
      <c r="AS65" s="16" t="n">
        <f aca="false">-AS63*$C$51</f>
        <v>-1342.10959258159</v>
      </c>
      <c r="AT65" s="16" t="n">
        <f aca="false">-AT63*$C$51</f>
        <v>-1409.21507221067</v>
      </c>
      <c r="AU65" s="16" t="n">
        <f aca="false">-AU63*$C$51</f>
        <v>-1479.67582582121</v>
      </c>
      <c r="AV65" s="16" t="n">
        <f aca="false">-AV63*$C$51</f>
        <v>-1553.65961711227</v>
      </c>
    </row>
    <row r="66" customFormat="false" ht="15" hidden="false" customHeight="false" outlineLevel="0" collapsed="false">
      <c r="B66" s="7" t="s">
        <v>141</v>
      </c>
      <c r="D66" s="16" t="n">
        <f aca="false">D64+D65</f>
        <v>651.589632</v>
      </c>
      <c r="E66" s="16" t="n">
        <f aca="false">E64+E65</f>
        <v>684.1691136</v>
      </c>
      <c r="F66" s="16" t="n">
        <f aca="false">F64+F65</f>
        <v>718.37756928</v>
      </c>
      <c r="G66" s="16" t="n">
        <f aca="false">G64+G65</f>
        <v>754.296447744</v>
      </c>
      <c r="H66" s="16" t="n">
        <f aca="false">H64+H65</f>
        <v>792.0112701312</v>
      </c>
      <c r="I66" s="16" t="n">
        <f aca="false">I64+I65</f>
        <v>831.61183363776</v>
      </c>
      <c r="J66" s="16" t="n">
        <f aca="false">J64+J65</f>
        <v>873.192425319648</v>
      </c>
      <c r="K66" s="16" t="n">
        <f aca="false">K64+K65</f>
        <v>916.85204658563</v>
      </c>
      <c r="L66" s="16" t="n">
        <f aca="false">L64+L65</f>
        <v>962.694648914912</v>
      </c>
      <c r="M66" s="16" t="n">
        <f aca="false">M64+M65</f>
        <v>1010.82938136066</v>
      </c>
      <c r="N66" s="16" t="n">
        <f aca="false">N64+N65</f>
        <v>1061.37085042869</v>
      </c>
      <c r="O66" s="16" t="n">
        <f aca="false">O64+O65</f>
        <v>1114.43939295013</v>
      </c>
      <c r="P66" s="16" t="n">
        <f aca="false">P64+P65</f>
        <v>1170.16136259763</v>
      </c>
      <c r="Q66" s="16" t="n">
        <f aca="false">Q64+Q65</f>
        <v>1228.66943072751</v>
      </c>
      <c r="R66" s="16" t="n">
        <f aca="false">R64+R65</f>
        <v>1290.10290226389</v>
      </c>
      <c r="S66" s="16" t="n">
        <f aca="false">S64+S65</f>
        <v>1354.60804737708</v>
      </c>
      <c r="T66" s="16" t="n">
        <f aca="false">T64+T65</f>
        <v>1422.33844974594</v>
      </c>
      <c r="U66" s="16" t="n">
        <f aca="false">U64+U65</f>
        <v>1493.45537223323</v>
      </c>
      <c r="V66" s="16" t="n">
        <f aca="false">V64+V65</f>
        <v>1568.1281408449</v>
      </c>
      <c r="W66" s="16" t="n">
        <f aca="false">W64+W65</f>
        <v>1646.53454788714</v>
      </c>
      <c r="X66" s="16" t="n">
        <f aca="false">X64+X65</f>
        <v>1728.8612752815</v>
      </c>
      <c r="Y66" s="16" t="n">
        <f aca="false">Y64+Y65</f>
        <v>1815.30433904557</v>
      </c>
      <c r="Z66" s="16" t="n">
        <f aca="false">Z64+Z65</f>
        <v>1906.06955599785</v>
      </c>
      <c r="AA66" s="16" t="n">
        <f aca="false">AA64+AA65</f>
        <v>2001.37303379774</v>
      </c>
      <c r="AB66" s="16" t="n">
        <f aca="false">AB64+AB65</f>
        <v>2101.44168548763</v>
      </c>
      <c r="AC66" s="16" t="n">
        <f aca="false">AC64+AC65</f>
        <v>2206.51376976201</v>
      </c>
      <c r="AD66" s="16" t="n">
        <f aca="false">AD64+AD65</f>
        <v>2316.83945825011</v>
      </c>
      <c r="AE66" s="16" t="n">
        <f aca="false">AE64+AE65</f>
        <v>2432.68143116262</v>
      </c>
      <c r="AF66" s="16" t="n">
        <f aca="false">AF64+AF65</f>
        <v>2554.31550272075</v>
      </c>
      <c r="AG66" s="16" t="n">
        <f aca="false">AG64+AG65</f>
        <v>2682.03127785679</v>
      </c>
      <c r="AH66" s="16" t="n">
        <f aca="false">AH64+AH65</f>
        <v>2816.13284174963</v>
      </c>
      <c r="AI66" s="16" t="n">
        <f aca="false">AI64+AI65</f>
        <v>2956.93948383711</v>
      </c>
      <c r="AJ66" s="16" t="n">
        <f aca="false">AJ64+AJ65</f>
        <v>3104.78645802897</v>
      </c>
      <c r="AK66" s="16" t="n">
        <f aca="false">AK64+AK65</f>
        <v>3260.02578093041</v>
      </c>
      <c r="AL66" s="16" t="n">
        <f aca="false">AL64+AL65</f>
        <v>3423.02706997693</v>
      </c>
      <c r="AM66" s="16" t="n">
        <f aca="false">AM64+AM65</f>
        <v>3594.17842347578</v>
      </c>
      <c r="AN66" s="16" t="n">
        <f aca="false">AN64+AN65</f>
        <v>3773.88734464957</v>
      </c>
      <c r="AO66" s="16" t="n">
        <f aca="false">AO64+AO65</f>
        <v>3962.58171188205</v>
      </c>
      <c r="AP66" s="16" t="n">
        <f aca="false">AP64+AP65</f>
        <v>4160.71079747615</v>
      </c>
      <c r="AQ66" s="16" t="n">
        <f aca="false">AQ64+AQ65</f>
        <v>4368.74633734996</v>
      </c>
      <c r="AR66" s="16" t="n">
        <f aca="false">AR64+AR65</f>
        <v>4587.18365421746</v>
      </c>
      <c r="AS66" s="16" t="n">
        <f aca="false">AS64+AS65</f>
        <v>4816.54283692833</v>
      </c>
      <c r="AT66" s="16" t="n">
        <f aca="false">AT64+AT65</f>
        <v>5057.36997877475</v>
      </c>
      <c r="AU66" s="16" t="n">
        <f aca="false">AU64+AU65</f>
        <v>5310.23847771349</v>
      </c>
      <c r="AV66" s="16" t="n">
        <f aca="false">AV64+AV65</f>
        <v>5575.75040159916</v>
      </c>
    </row>
    <row r="67" customFormat="false" ht="15" hidden="false" customHeight="false" outlineLevel="0" collapsed="false">
      <c r="B67" s="7" t="s">
        <v>142</v>
      </c>
      <c r="D67" s="8" t="n">
        <f aca="false">IF(D$61=2026,Inputs!$C$10,Inputs!$C$11)</f>
        <v>0.348</v>
      </c>
      <c r="E67" s="8" t="n">
        <f aca="false">IF(E$61=2026,Inputs!$C$10,Inputs!$C$11)</f>
        <v>0.258</v>
      </c>
      <c r="F67" s="8" t="n">
        <f aca="false">IF(F$61=2026,Inputs!$C$10,Inputs!$C$11)</f>
        <v>0.258</v>
      </c>
      <c r="G67" s="8" t="n">
        <f aca="false">IF(G$61=2026,Inputs!$C$10,Inputs!$C$11)</f>
        <v>0.258</v>
      </c>
      <c r="H67" s="8" t="n">
        <f aca="false">IF(H$61=2026,Inputs!$C$10,Inputs!$C$11)</f>
        <v>0.258</v>
      </c>
      <c r="I67" s="8" t="n">
        <f aca="false">IF(I$61=2026,Inputs!$C$10,Inputs!$C$11)</f>
        <v>0.258</v>
      </c>
      <c r="J67" s="8" t="n">
        <f aca="false">IF(J$61=2026,Inputs!$C$10,Inputs!$C$11)</f>
        <v>0.258</v>
      </c>
      <c r="K67" s="8" t="n">
        <f aca="false">IF(K$61=2026,Inputs!$C$10,Inputs!$C$11)</f>
        <v>0.258</v>
      </c>
      <c r="L67" s="8" t="n">
        <f aca="false">IF(L$61=2026,Inputs!$C$10,Inputs!$C$11)</f>
        <v>0.258</v>
      </c>
      <c r="M67" s="8" t="n">
        <f aca="false">IF(M$61=2026,Inputs!$C$10,Inputs!$C$11)</f>
        <v>0.258</v>
      </c>
      <c r="N67" s="8" t="n">
        <f aca="false">IF(N$61=2026,Inputs!$C$10,Inputs!$C$11)</f>
        <v>0.258</v>
      </c>
      <c r="O67" s="8" t="n">
        <f aca="false">IF(O$61=2026,Inputs!$C$10,Inputs!$C$11)</f>
        <v>0.258</v>
      </c>
      <c r="P67" s="8" t="n">
        <f aca="false">IF(P$61=2026,Inputs!$C$10,Inputs!$C$11)</f>
        <v>0.258</v>
      </c>
      <c r="Q67" s="8" t="n">
        <f aca="false">IF(Q$61=2026,Inputs!$C$10,Inputs!$C$11)</f>
        <v>0.258</v>
      </c>
      <c r="R67" s="8" t="n">
        <f aca="false">IF(R$61=2026,Inputs!$C$10,Inputs!$C$11)</f>
        <v>0.258</v>
      </c>
      <c r="S67" s="8" t="n">
        <f aca="false">IF(S$61=2026,Inputs!$C$10,Inputs!$C$11)</f>
        <v>0.258</v>
      </c>
      <c r="T67" s="8" t="n">
        <f aca="false">IF(T$61=2026,Inputs!$C$10,Inputs!$C$11)</f>
        <v>0.258</v>
      </c>
      <c r="U67" s="8" t="n">
        <f aca="false">IF(U$61=2026,Inputs!$C$10,Inputs!$C$11)</f>
        <v>0.258</v>
      </c>
      <c r="V67" s="8" t="n">
        <f aca="false">IF(V$61=2026,Inputs!$C$10,Inputs!$C$11)</f>
        <v>0.258</v>
      </c>
      <c r="W67" s="8" t="n">
        <f aca="false">IF(W$61=2026,Inputs!$C$10,Inputs!$C$11)</f>
        <v>0.258</v>
      </c>
      <c r="X67" s="8" t="n">
        <f aca="false">IF(X$61=2026,Inputs!$C$10,Inputs!$C$11)</f>
        <v>0.258</v>
      </c>
      <c r="Y67" s="8" t="n">
        <f aca="false">IF(Y$61=2026,Inputs!$C$10,Inputs!$C$11)</f>
        <v>0.258</v>
      </c>
      <c r="Z67" s="8" t="n">
        <f aca="false">IF(Z$61=2026,Inputs!$C$10,Inputs!$C$11)</f>
        <v>0.258</v>
      </c>
      <c r="AA67" s="8" t="n">
        <f aca="false">IF(AA$61=2026,Inputs!$C$10,Inputs!$C$11)</f>
        <v>0.258</v>
      </c>
      <c r="AB67" s="8" t="n">
        <f aca="false">IF(AB$61=2026,Inputs!$C$10,Inputs!$C$11)</f>
        <v>0.258</v>
      </c>
      <c r="AC67" s="8" t="n">
        <f aca="false">IF(AC$61=2026,Inputs!$C$10,Inputs!$C$11)</f>
        <v>0.258</v>
      </c>
      <c r="AD67" s="8" t="n">
        <f aca="false">IF(AD$61=2026,Inputs!$C$10,Inputs!$C$11)</f>
        <v>0.258</v>
      </c>
      <c r="AE67" s="8" t="n">
        <f aca="false">IF(AE$61=2026,Inputs!$C$10,Inputs!$C$11)</f>
        <v>0.258</v>
      </c>
      <c r="AF67" s="8" t="n">
        <f aca="false">IF(AF$61=2026,Inputs!$C$10,Inputs!$C$11)</f>
        <v>0.258</v>
      </c>
      <c r="AG67" s="8" t="n">
        <f aca="false">IF(AG$61=2026,Inputs!$C$10,Inputs!$C$11)</f>
        <v>0.258</v>
      </c>
      <c r="AH67" s="8" t="n">
        <f aca="false">IF(AH$61=2026,Inputs!$C$10,Inputs!$C$11)</f>
        <v>0.258</v>
      </c>
      <c r="AI67" s="8" t="n">
        <f aca="false">IF(AI$61=2026,Inputs!$C$10,Inputs!$C$11)</f>
        <v>0.258</v>
      </c>
      <c r="AJ67" s="8" t="n">
        <f aca="false">IF(AJ$61=2026,Inputs!$C$10,Inputs!$C$11)</f>
        <v>0.258</v>
      </c>
      <c r="AK67" s="8" t="n">
        <f aca="false">IF(AK$61=2026,Inputs!$C$10,Inputs!$C$11)</f>
        <v>0.258</v>
      </c>
      <c r="AL67" s="8" t="n">
        <f aca="false">IF(AL$61=2026,Inputs!$C$10,Inputs!$C$11)</f>
        <v>0.258</v>
      </c>
      <c r="AM67" s="8" t="n">
        <f aca="false">IF(AM$61=2026,Inputs!$C$10,Inputs!$C$11)</f>
        <v>0.258</v>
      </c>
      <c r="AN67" s="8" t="n">
        <f aca="false">IF(AN$61=2026,Inputs!$C$10,Inputs!$C$11)</f>
        <v>0.258</v>
      </c>
      <c r="AO67" s="8" t="n">
        <f aca="false">IF(AO$61=2026,Inputs!$C$10,Inputs!$C$11)</f>
        <v>0.258</v>
      </c>
      <c r="AP67" s="8" t="n">
        <f aca="false">IF(AP$61=2026,Inputs!$C$10,Inputs!$C$11)</f>
        <v>0.258</v>
      </c>
      <c r="AQ67" s="8" t="n">
        <f aca="false">IF(AQ$61=2026,Inputs!$C$10,Inputs!$C$11)</f>
        <v>0.258</v>
      </c>
      <c r="AR67" s="8" t="n">
        <f aca="false">IF(AR$61=2026,Inputs!$C$10,Inputs!$C$11)</f>
        <v>0.258</v>
      </c>
      <c r="AS67" s="8" t="n">
        <f aca="false">IF(AS$61=2026,Inputs!$C$10,Inputs!$C$11)</f>
        <v>0.258</v>
      </c>
      <c r="AT67" s="8" t="n">
        <f aca="false">IF(AT$61=2026,Inputs!$C$10,Inputs!$C$11)</f>
        <v>0.258</v>
      </c>
      <c r="AU67" s="8" t="n">
        <f aca="false">IF(AU$61=2026,Inputs!$C$10,Inputs!$C$11)</f>
        <v>0.258</v>
      </c>
      <c r="AV67" s="8" t="n">
        <f aca="false">IF(AV$61=2026,Inputs!$C$10,Inputs!$C$11)</f>
        <v>0.258</v>
      </c>
    </row>
    <row r="68" customFormat="false" ht="15" hidden="false" customHeight="false" outlineLevel="0" collapsed="false">
      <c r="B68" s="7" t="s">
        <v>143</v>
      </c>
      <c r="D68" s="16" t="n">
        <f aca="false">-MAX(0,D66)*D67</f>
        <v>-226.753191936</v>
      </c>
      <c r="E68" s="16" t="n">
        <f aca="false">-MAX(0,E66)*E67</f>
        <v>-176.5156313088</v>
      </c>
      <c r="F68" s="16" t="n">
        <f aca="false">-MAX(0,F66)*F67</f>
        <v>-185.34141287424</v>
      </c>
      <c r="G68" s="16" t="n">
        <f aca="false">-MAX(0,G66)*G67</f>
        <v>-194.608483517952</v>
      </c>
      <c r="H68" s="16" t="n">
        <f aca="false">-MAX(0,H66)*H67</f>
        <v>-204.33890769385</v>
      </c>
      <c r="I68" s="16" t="n">
        <f aca="false">-MAX(0,I66)*I67</f>
        <v>-214.555853078542</v>
      </c>
      <c r="J68" s="16" t="n">
        <f aca="false">-MAX(0,J66)*J67</f>
        <v>-225.283645732469</v>
      </c>
      <c r="K68" s="16" t="n">
        <f aca="false">-MAX(0,K66)*K67</f>
        <v>-236.547828019093</v>
      </c>
      <c r="L68" s="16" t="n">
        <f aca="false">-MAX(0,L66)*L67</f>
        <v>-248.375219420047</v>
      </c>
      <c r="M68" s="16" t="n">
        <f aca="false">-MAX(0,M66)*M67</f>
        <v>-260.79398039105</v>
      </c>
      <c r="N68" s="16" t="n">
        <f aca="false">-MAX(0,N66)*N67</f>
        <v>-273.833679410602</v>
      </c>
      <c r="O68" s="16" t="n">
        <f aca="false">-MAX(0,O66)*O67</f>
        <v>-287.525363381132</v>
      </c>
      <c r="P68" s="16" t="n">
        <f aca="false">-MAX(0,P66)*P67</f>
        <v>-301.901631550189</v>
      </c>
      <c r="Q68" s="16" t="n">
        <f aca="false">-MAX(0,Q66)*Q67</f>
        <v>-316.996713127698</v>
      </c>
      <c r="R68" s="16" t="n">
        <f aca="false">-MAX(0,R66)*R67</f>
        <v>-332.846548784083</v>
      </c>
      <c r="S68" s="16" t="n">
        <f aca="false">-MAX(0,S66)*S67</f>
        <v>-349.488876223287</v>
      </c>
      <c r="T68" s="16" t="n">
        <f aca="false">-MAX(0,T66)*T67</f>
        <v>-366.963320034452</v>
      </c>
      <c r="U68" s="16" t="n">
        <f aca="false">-MAX(0,U66)*U67</f>
        <v>-385.311486036174</v>
      </c>
      <c r="V68" s="16" t="n">
        <f aca="false">-MAX(0,V66)*V67</f>
        <v>-404.577060337983</v>
      </c>
      <c r="W68" s="16" t="n">
        <f aca="false">-MAX(0,W66)*W67</f>
        <v>-424.805913354882</v>
      </c>
      <c r="X68" s="16" t="n">
        <f aca="false">-MAX(0,X66)*X67</f>
        <v>-446.046209022626</v>
      </c>
      <c r="Y68" s="16" t="n">
        <f aca="false">-MAX(0,Y66)*Y67</f>
        <v>-468.348519473758</v>
      </c>
      <c r="Z68" s="16" t="n">
        <f aca="false">-MAX(0,Z66)*Z67</f>
        <v>-491.765945447446</v>
      </c>
      <c r="AA68" s="16" t="n">
        <f aca="false">-MAX(0,AA66)*AA67</f>
        <v>-516.354242719818</v>
      </c>
      <c r="AB68" s="16" t="n">
        <f aca="false">-MAX(0,AB66)*AB67</f>
        <v>-542.171954855809</v>
      </c>
      <c r="AC68" s="16" t="n">
        <f aca="false">-MAX(0,AC66)*AC67</f>
        <v>-569.2805525986</v>
      </c>
      <c r="AD68" s="16" t="n">
        <f aca="false">-MAX(0,AD66)*AD67</f>
        <v>-597.744580228529</v>
      </c>
      <c r="AE68" s="16" t="n">
        <f aca="false">-MAX(0,AE66)*AE67</f>
        <v>-627.631809239956</v>
      </c>
      <c r="AF68" s="16" t="n">
        <f aca="false">-MAX(0,AF66)*AF67</f>
        <v>-659.013399701954</v>
      </c>
      <c r="AG68" s="16" t="n">
        <f aca="false">-MAX(0,AG66)*AG67</f>
        <v>-691.964069687052</v>
      </c>
      <c r="AH68" s="16" t="n">
        <f aca="false">-MAX(0,AH66)*AH67</f>
        <v>-726.562273171404</v>
      </c>
      <c r="AI68" s="16" t="n">
        <f aca="false">-MAX(0,AI66)*AI67</f>
        <v>-762.890386829974</v>
      </c>
      <c r="AJ68" s="16" t="n">
        <f aca="false">-MAX(0,AJ66)*AJ67</f>
        <v>-801.034906171473</v>
      </c>
      <c r="AK68" s="16" t="n">
        <f aca="false">-MAX(0,AK66)*AK67</f>
        <v>-841.086651480047</v>
      </c>
      <c r="AL68" s="16" t="n">
        <f aca="false">-MAX(0,AL66)*AL67</f>
        <v>-883.140984054049</v>
      </c>
      <c r="AM68" s="16" t="n">
        <f aca="false">-MAX(0,AM66)*AM67</f>
        <v>-927.298033256752</v>
      </c>
      <c r="AN68" s="16" t="n">
        <f aca="false">-MAX(0,AN66)*AN67</f>
        <v>-973.662934919589</v>
      </c>
      <c r="AO68" s="16" t="n">
        <f aca="false">-MAX(0,AO66)*AO67</f>
        <v>-1022.34608166557</v>
      </c>
      <c r="AP68" s="16" t="n">
        <f aca="false">-MAX(0,AP66)*AP67</f>
        <v>-1073.46338574885</v>
      </c>
      <c r="AQ68" s="16" t="n">
        <f aca="false">-MAX(0,AQ66)*AQ67</f>
        <v>-1127.13655503629</v>
      </c>
      <c r="AR68" s="16" t="n">
        <f aca="false">-MAX(0,AR66)*AR67</f>
        <v>-1183.4933827881</v>
      </c>
      <c r="AS68" s="16" t="n">
        <f aca="false">-MAX(0,AS66)*AS67</f>
        <v>-1242.66805192751</v>
      </c>
      <c r="AT68" s="16" t="n">
        <f aca="false">-MAX(0,AT66)*AT67</f>
        <v>-1304.80145452389</v>
      </c>
      <c r="AU68" s="16" t="n">
        <f aca="false">-MAX(0,AU66)*AU67</f>
        <v>-1370.04152725008</v>
      </c>
      <c r="AV68" s="16" t="n">
        <f aca="false">-MAX(0,AV66)*AV67</f>
        <v>-1438.54360361258</v>
      </c>
    </row>
    <row r="69" customFormat="false" ht="15" hidden="false" customHeight="false" outlineLevel="0" collapsed="false">
      <c r="B69" s="7" t="s">
        <v>144</v>
      </c>
      <c r="D69" s="16" t="n">
        <f aca="false">-D63*$C$52</f>
        <v>-1018.1088</v>
      </c>
      <c r="E69" s="16" t="n">
        <f aca="false">-E63*$C$52</f>
        <v>-1069.01424</v>
      </c>
      <c r="F69" s="16" t="n">
        <f aca="false">-F63*$C$52</f>
        <v>-1122.464952</v>
      </c>
      <c r="G69" s="16" t="n">
        <f aca="false">-G63*$C$52</f>
        <v>-1178.5881996</v>
      </c>
      <c r="H69" s="16" t="n">
        <f aca="false">-H63*$C$52</f>
        <v>-1237.51760958</v>
      </c>
      <c r="I69" s="16" t="n">
        <f aca="false">-I63*$C$52</f>
        <v>-1299.393490059</v>
      </c>
      <c r="J69" s="16" t="n">
        <f aca="false">-J63*$C$52</f>
        <v>-1364.36316456195</v>
      </c>
      <c r="K69" s="16" t="n">
        <f aca="false">-K63*$C$52</f>
        <v>-1432.58132279005</v>
      </c>
      <c r="L69" s="16" t="n">
        <f aca="false">-L63*$C$52</f>
        <v>-1504.21038892955</v>
      </c>
      <c r="M69" s="16" t="n">
        <f aca="false">-M63*$C$52</f>
        <v>-1579.42090837603</v>
      </c>
      <c r="N69" s="16" t="n">
        <f aca="false">-N63*$C$52</f>
        <v>-1658.39195379483</v>
      </c>
      <c r="O69" s="16" t="n">
        <f aca="false">-O63*$C$52</f>
        <v>-1741.31155148457</v>
      </c>
      <c r="P69" s="16" t="n">
        <f aca="false">-P63*$C$52</f>
        <v>-1828.3771290588</v>
      </c>
      <c r="Q69" s="16" t="n">
        <f aca="false">-Q63*$C$52</f>
        <v>-1919.79598551174</v>
      </c>
      <c r="R69" s="16" t="n">
        <f aca="false">-R63*$C$52</f>
        <v>-2015.78578478733</v>
      </c>
      <c r="S69" s="16" t="n">
        <f aca="false">-S63*$C$52</f>
        <v>-2116.57507402669</v>
      </c>
      <c r="T69" s="16" t="n">
        <f aca="false">-T63*$C$52</f>
        <v>-2222.40382772803</v>
      </c>
      <c r="U69" s="16" t="n">
        <f aca="false">-U63*$C$52</f>
        <v>-2333.52401911443</v>
      </c>
      <c r="V69" s="16" t="n">
        <f aca="false">-V63*$C$52</f>
        <v>-2450.20022007015</v>
      </c>
      <c r="W69" s="16" t="n">
        <f aca="false">-W63*$C$52</f>
        <v>-2572.71023107366</v>
      </c>
      <c r="X69" s="16" t="n">
        <f aca="false">-X63*$C$52</f>
        <v>-2701.34574262734</v>
      </c>
      <c r="Y69" s="16" t="n">
        <f aca="false">-Y63*$C$52</f>
        <v>-2836.41302975871</v>
      </c>
      <c r="Z69" s="16" t="n">
        <f aca="false">-Z63*$C$52</f>
        <v>-2978.23368124664</v>
      </c>
      <c r="AA69" s="16" t="n">
        <f aca="false">-AA63*$C$52</f>
        <v>-3127.14536530898</v>
      </c>
      <c r="AB69" s="16" t="n">
        <f aca="false">-AB63*$C$52</f>
        <v>-3283.50263357442</v>
      </c>
      <c r="AC69" s="16" t="n">
        <f aca="false">-AC63*$C$52</f>
        <v>-3447.67776525315</v>
      </c>
      <c r="AD69" s="16" t="n">
        <f aca="false">-AD63*$C$52</f>
        <v>-3620.0616535158</v>
      </c>
      <c r="AE69" s="16" t="n">
        <f aca="false">-AE63*$C$52</f>
        <v>-3801.06473619159</v>
      </c>
      <c r="AF69" s="16" t="n">
        <f aca="false">-AF63*$C$52</f>
        <v>-3991.11797300117</v>
      </c>
      <c r="AG69" s="16" t="n">
        <f aca="false">-AG63*$C$52</f>
        <v>-4190.67387165123</v>
      </c>
      <c r="AH69" s="16" t="n">
        <f aca="false">-AH63*$C$52</f>
        <v>-4400.20756523379</v>
      </c>
      <c r="AI69" s="16" t="n">
        <f aca="false">-AI63*$C$52</f>
        <v>-4620.21794349548</v>
      </c>
      <c r="AJ69" s="16" t="n">
        <f aca="false">-AJ63*$C$52</f>
        <v>-4851.22884067026</v>
      </c>
      <c r="AK69" s="16" t="n">
        <f aca="false">-AK63*$C$52</f>
        <v>-5093.79028270377</v>
      </c>
      <c r="AL69" s="16" t="n">
        <f aca="false">-AL63*$C$52</f>
        <v>-5348.47979683896</v>
      </c>
      <c r="AM69" s="16" t="n">
        <f aca="false">-AM63*$C$52</f>
        <v>-5615.90378668091</v>
      </c>
      <c r="AN69" s="16" t="n">
        <f aca="false">-AN63*$C$52</f>
        <v>-5896.69897601495</v>
      </c>
      <c r="AO69" s="16" t="n">
        <f aca="false">-AO63*$C$52</f>
        <v>-6191.5339248157</v>
      </c>
      <c r="AP69" s="16" t="n">
        <f aca="false">-AP63*$C$52</f>
        <v>-6501.11062105649</v>
      </c>
      <c r="AQ69" s="16" t="n">
        <f aca="false">-AQ63*$C$52</f>
        <v>-6826.16615210931</v>
      </c>
      <c r="AR69" s="16" t="n">
        <f aca="false">-AR63*$C$52</f>
        <v>-7167.47445971478</v>
      </c>
      <c r="AS69" s="16" t="n">
        <f aca="false">-AS63*$C$52</f>
        <v>-7525.84818270052</v>
      </c>
      <c r="AT69" s="16" t="n">
        <f aca="false">-AT63*$C$52</f>
        <v>-7902.14059183554</v>
      </c>
      <c r="AU69" s="16" t="n">
        <f aca="false">-AU63*$C$52</f>
        <v>-8297.24762142732</v>
      </c>
      <c r="AV69" s="16" t="n">
        <f aca="false">-AV63*$C$52</f>
        <v>-8712.11000249869</v>
      </c>
    </row>
    <row r="70" customFormat="false" ht="15" hidden="false" customHeight="false" outlineLevel="0" collapsed="false">
      <c r="B70" s="7" t="s">
        <v>145</v>
      </c>
      <c r="D70" s="16" t="n">
        <f aca="false">-D63*$C$53</f>
        <v>-4.24212</v>
      </c>
      <c r="E70" s="16" t="n">
        <f aca="false">-E63*$C$53</f>
        <v>-4.454226</v>
      </c>
      <c r="F70" s="16" t="n">
        <f aca="false">-F63*$C$53</f>
        <v>-4.6769373</v>
      </c>
      <c r="G70" s="16" t="n">
        <f aca="false">-G63*$C$53</f>
        <v>-4.910784165</v>
      </c>
      <c r="H70" s="16" t="n">
        <f aca="false">-H63*$C$53</f>
        <v>-5.15632337325</v>
      </c>
      <c r="I70" s="16" t="n">
        <f aca="false">-I63*$C$53</f>
        <v>-5.4141395419125</v>
      </c>
      <c r="J70" s="16" t="n">
        <f aca="false">-J63*$C$53</f>
        <v>-5.68484651900813</v>
      </c>
      <c r="K70" s="16" t="n">
        <f aca="false">-K63*$C$53</f>
        <v>-5.96908884495853</v>
      </c>
      <c r="L70" s="16" t="n">
        <f aca="false">-L63*$C$53</f>
        <v>-6.26754328720646</v>
      </c>
      <c r="M70" s="16" t="n">
        <f aca="false">-M63*$C$53</f>
        <v>-6.58092045156678</v>
      </c>
      <c r="N70" s="16" t="n">
        <f aca="false">-N63*$C$53</f>
        <v>-6.90996647414512</v>
      </c>
      <c r="O70" s="16" t="n">
        <f aca="false">-O63*$C$53</f>
        <v>-7.25546479785238</v>
      </c>
      <c r="P70" s="16" t="n">
        <f aca="false">-P63*$C$53</f>
        <v>-7.618238037745</v>
      </c>
      <c r="Q70" s="16" t="n">
        <f aca="false">-Q63*$C$53</f>
        <v>-7.99914993963225</v>
      </c>
      <c r="R70" s="16" t="n">
        <f aca="false">-R63*$C$53</f>
        <v>-8.39910743661386</v>
      </c>
      <c r="S70" s="16" t="n">
        <f aca="false">-S63*$C$53</f>
        <v>-8.81906280844455</v>
      </c>
      <c r="T70" s="16" t="n">
        <f aca="false">-T63*$C$53</f>
        <v>-9.26001594886678</v>
      </c>
      <c r="U70" s="16" t="n">
        <f aca="false">-U63*$C$53</f>
        <v>-9.72301674631012</v>
      </c>
      <c r="V70" s="16" t="n">
        <f aca="false">-V63*$C$53</f>
        <v>-10.2091675836256</v>
      </c>
      <c r="W70" s="16" t="n">
        <f aca="false">-W63*$C$53</f>
        <v>-10.7196259628069</v>
      </c>
      <c r="X70" s="16" t="n">
        <f aca="false">-X63*$C$53</f>
        <v>-11.2556072609473</v>
      </c>
      <c r="Y70" s="16" t="n">
        <f aca="false">-Y63*$C$53</f>
        <v>-11.8183876239946</v>
      </c>
      <c r="Z70" s="16" t="n">
        <f aca="false">-Z63*$C$53</f>
        <v>-12.4093070051943</v>
      </c>
      <c r="AA70" s="16" t="n">
        <f aca="false">-AA63*$C$53</f>
        <v>-13.0297723554541</v>
      </c>
      <c r="AB70" s="16" t="n">
        <f aca="false">-AB63*$C$53</f>
        <v>-13.6812609732268</v>
      </c>
      <c r="AC70" s="16" t="n">
        <f aca="false">-AC63*$C$53</f>
        <v>-14.3653240218881</v>
      </c>
      <c r="AD70" s="16" t="n">
        <f aca="false">-AD63*$C$53</f>
        <v>-15.0835902229825</v>
      </c>
      <c r="AE70" s="16" t="n">
        <f aca="false">-AE63*$C$53</f>
        <v>-15.8377697341316</v>
      </c>
      <c r="AF70" s="16" t="n">
        <f aca="false">-AF63*$C$53</f>
        <v>-16.6296582208382</v>
      </c>
      <c r="AG70" s="16" t="n">
        <f aca="false">-AG63*$C$53</f>
        <v>-17.4611411318801</v>
      </c>
      <c r="AH70" s="16" t="n">
        <f aca="false">-AH63*$C$53</f>
        <v>-18.3341981884741</v>
      </c>
      <c r="AI70" s="16" t="n">
        <f aca="false">-AI63*$C$53</f>
        <v>-19.2509080978979</v>
      </c>
      <c r="AJ70" s="16" t="n">
        <f aca="false">-AJ63*$C$53</f>
        <v>-20.2134535027927</v>
      </c>
      <c r="AK70" s="16" t="n">
        <f aca="false">-AK63*$C$53</f>
        <v>-21.2241261779324</v>
      </c>
      <c r="AL70" s="16" t="n">
        <f aca="false">-AL63*$C$53</f>
        <v>-22.285332486829</v>
      </c>
      <c r="AM70" s="16" t="n">
        <f aca="false">-AM63*$C$53</f>
        <v>-23.3995991111705</v>
      </c>
      <c r="AN70" s="16" t="n">
        <f aca="false">-AN63*$C$53</f>
        <v>-24.569579066729</v>
      </c>
      <c r="AO70" s="16" t="n">
        <f aca="false">-AO63*$C$53</f>
        <v>-25.7980580200654</v>
      </c>
      <c r="AP70" s="16" t="n">
        <f aca="false">-AP63*$C$53</f>
        <v>-27.0879609210687</v>
      </c>
      <c r="AQ70" s="16" t="n">
        <f aca="false">-AQ63*$C$53</f>
        <v>-28.4423589671221</v>
      </c>
      <c r="AR70" s="16" t="n">
        <f aca="false">-AR63*$C$53</f>
        <v>-29.8644769154782</v>
      </c>
      <c r="AS70" s="16" t="n">
        <f aca="false">-AS63*$C$53</f>
        <v>-31.3577007612522</v>
      </c>
      <c r="AT70" s="16" t="n">
        <f aca="false">-AT63*$C$53</f>
        <v>-32.9255857993148</v>
      </c>
      <c r="AU70" s="16" t="n">
        <f aca="false">-AU63*$C$53</f>
        <v>-34.5718650892805</v>
      </c>
      <c r="AV70" s="16" t="n">
        <f aca="false">-AV63*$C$53</f>
        <v>-36.3004583437445</v>
      </c>
    </row>
    <row r="71" customFormat="false" ht="15" hidden="false" customHeight="false" outlineLevel="0" collapsed="false">
      <c r="B71" s="12" t="s">
        <v>146</v>
      </c>
      <c r="D71" s="38" t="n">
        <f aca="false">(D64+D68+D69+D70)*D62</f>
        <v>-209.685262696504</v>
      </c>
      <c r="E71" s="38" t="n">
        <f aca="false">(E64+E68+E69+E70)*E62</f>
        <v>-375.1741109088</v>
      </c>
      <c r="F71" s="38" t="n">
        <f aca="false">(F64+F68+F69+F70)*F62</f>
        <v>-395.012084444526</v>
      </c>
      <c r="G71" s="38" t="n">
        <f aca="false">(G64+G68+G69+G70)*G62</f>
        <v>-413.629457276952</v>
      </c>
      <c r="H71" s="38" t="n">
        <f aca="false">(H64+H68+H69+H70)*H62</f>
        <v>-434.3109301408</v>
      </c>
      <c r="I71" s="38" t="n">
        <f aca="false">(I64+I68+I69+I70)*I62</f>
        <v>-0</v>
      </c>
      <c r="J71" s="38" t="n">
        <f aca="false">(J64+J68+J69+J70)*J62</f>
        <v>-0</v>
      </c>
      <c r="K71" s="38" t="n">
        <f aca="false">(K64+K68+K69+K70)*K62</f>
        <v>-0</v>
      </c>
      <c r="L71" s="38" t="n">
        <f aca="false">(L64+L68+L69+L70)*L62</f>
        <v>-0</v>
      </c>
      <c r="M71" s="38" t="n">
        <f aca="false">(M64+M68+M69+M70)*M62</f>
        <v>-0</v>
      </c>
      <c r="N71" s="38" t="n">
        <f aca="false">(N64+N68+N69+N70)*N62</f>
        <v>-0</v>
      </c>
      <c r="O71" s="38" t="n">
        <f aca="false">(O64+O68+O69+O70)*O62</f>
        <v>-0</v>
      </c>
      <c r="P71" s="38" t="n">
        <f aca="false">(P64+P68+P69+P70)*P62</f>
        <v>-0</v>
      </c>
      <c r="Q71" s="38" t="n">
        <f aca="false">(Q64+Q68+Q69+Q70)*Q62</f>
        <v>-0</v>
      </c>
      <c r="R71" s="38" t="n">
        <f aca="false">(R64+R68+R69+R70)*R62</f>
        <v>-0</v>
      </c>
      <c r="S71" s="38" t="n">
        <f aca="false">(S64+S68+S69+S70)*S62</f>
        <v>-0</v>
      </c>
      <c r="T71" s="38" t="n">
        <f aca="false">(T64+T68+T69+T70)*T62</f>
        <v>-0</v>
      </c>
      <c r="U71" s="38" t="n">
        <f aca="false">(U64+U68+U69+U70)*U62</f>
        <v>-0</v>
      </c>
      <c r="V71" s="38" t="n">
        <f aca="false">(V64+V68+V69+V70)*V62</f>
        <v>-0</v>
      </c>
      <c r="W71" s="38" t="n">
        <f aca="false">(W64+W68+W69+W70)*W62</f>
        <v>-0</v>
      </c>
      <c r="X71" s="38" t="n">
        <f aca="false">(X64+X68+X69+X70)*X62</f>
        <v>-0</v>
      </c>
      <c r="Y71" s="38" t="n">
        <f aca="false">(Y64+Y68+Y69+Y70)*Y62</f>
        <v>-0</v>
      </c>
      <c r="Z71" s="38" t="n">
        <f aca="false">(Z64+Z68+Z69+Z70)*Z62</f>
        <v>-0</v>
      </c>
      <c r="AA71" s="38" t="n">
        <f aca="false">(AA64+AA68+AA69+AA70)*AA62</f>
        <v>-0</v>
      </c>
      <c r="AB71" s="38" t="n">
        <f aca="false">(AB64+AB68+AB69+AB70)*AB62</f>
        <v>-0</v>
      </c>
      <c r="AC71" s="38" t="n">
        <f aca="false">(AC64+AC68+AC69+AC70)*AC62</f>
        <v>-0</v>
      </c>
      <c r="AD71" s="38" t="n">
        <f aca="false">(AD64+AD68+AD69+AD70)*AD62</f>
        <v>-0</v>
      </c>
      <c r="AE71" s="38" t="n">
        <f aca="false">(AE64+AE68+AE69+AE70)*AE62</f>
        <v>-0</v>
      </c>
      <c r="AF71" s="38" t="n">
        <f aca="false">(AF64+AF68+AF69+AF70)*AF62</f>
        <v>-0</v>
      </c>
      <c r="AG71" s="38" t="n">
        <f aca="false">(AG64+AG68+AG69+AG70)*AG62</f>
        <v>-0</v>
      </c>
      <c r="AH71" s="38" t="n">
        <f aca="false">(AH64+AH68+AH69+AH70)*AH62</f>
        <v>-0</v>
      </c>
      <c r="AI71" s="38" t="n">
        <f aca="false">(AI64+AI68+AI69+AI70)*AI62</f>
        <v>-0</v>
      </c>
      <c r="AJ71" s="38" t="n">
        <f aca="false">(AJ64+AJ68+AJ69+AJ70)*AJ62</f>
        <v>-0</v>
      </c>
      <c r="AK71" s="38" t="n">
        <f aca="false">(AK64+AK68+AK69+AK70)*AK62</f>
        <v>-0</v>
      </c>
      <c r="AL71" s="38" t="n">
        <f aca="false">(AL64+AL68+AL69+AL70)*AL62</f>
        <v>-0</v>
      </c>
      <c r="AM71" s="38" t="n">
        <f aca="false">(AM64+AM68+AM69+AM70)*AM62</f>
        <v>-0</v>
      </c>
      <c r="AN71" s="38" t="n">
        <f aca="false">(AN64+AN68+AN69+AN70)*AN62</f>
        <v>-0</v>
      </c>
      <c r="AO71" s="38" t="n">
        <f aca="false">(AO64+AO68+AO69+AO70)*AO62</f>
        <v>-0</v>
      </c>
      <c r="AP71" s="38" t="n">
        <f aca="false">(AP64+AP68+AP69+AP70)*AP62</f>
        <v>-0</v>
      </c>
      <c r="AQ71" s="38" t="n">
        <f aca="false">(AQ64+AQ68+AQ69+AQ70)*AQ62</f>
        <v>-0</v>
      </c>
      <c r="AR71" s="38" t="n">
        <f aca="false">(AR64+AR68+AR69+AR70)*AR62</f>
        <v>-0</v>
      </c>
      <c r="AS71" s="38" t="n">
        <f aca="false">(AS64+AS68+AS69+AS70)*AS62</f>
        <v>-0</v>
      </c>
      <c r="AT71" s="38" t="n">
        <f aca="false">(AT64+AT68+AT69+AT70)*AT62</f>
        <v>-0</v>
      </c>
      <c r="AU71" s="38" t="n">
        <f aca="false">(AU64+AU68+AU69+AU70)*AU62</f>
        <v>-0</v>
      </c>
      <c r="AV71" s="38" t="n">
        <f aca="false">(AV64+AV68+AV69+AV70)*AV62</f>
        <v>-0</v>
      </c>
    </row>
    <row r="72" customFormat="false" ht="15" hidden="false" customHeight="false" outlineLevel="0" collapsed="false">
      <c r="B72" s="7" t="s">
        <v>147</v>
      </c>
      <c r="D72" s="37" t="n">
        <f aca="false">((MAX(Inputs!$C$5+1,DATE(D$61,1,1))+DATE(D$61,12,31))/2-Inputs!$C$5)/365</f>
        <v>0.253424657534247</v>
      </c>
      <c r="E72" s="37" t="n">
        <f aca="false">((MAX(Inputs!$C$5+1,DATE(E$61,1,1))+DATE(E$61,12,31))/2-Inputs!$C$5)/365</f>
        <v>1.00547945205479</v>
      </c>
      <c r="F72" s="37" t="n">
        <f aca="false">((MAX(Inputs!$C$5+1,DATE(F$61,1,1))+DATE(F$61,12,31))/2-Inputs!$C$5)/365</f>
        <v>2.00684931506849</v>
      </c>
      <c r="G72" s="37" t="n">
        <f aca="false">((MAX(Inputs!$C$5+1,DATE(G$61,1,1))+DATE(G$61,12,31))/2-Inputs!$C$5)/365</f>
        <v>3.00821917808219</v>
      </c>
      <c r="H72" s="37" t="n">
        <f aca="false">((MAX(Inputs!$C$5+1,DATE(H$61,1,1))+DATE(H$61,12,31))/2-Inputs!$C$5)/365</f>
        <v>4.00821917808219</v>
      </c>
      <c r="I72" s="37" t="n">
        <f aca="false">((MAX(Inputs!$C$5+1,DATE(I$61,1,1))+DATE(I$61,12,31))/2-Inputs!$C$5)/365</f>
        <v>5.00821917808219</v>
      </c>
      <c r="J72" s="37" t="n">
        <f aca="false">((MAX(Inputs!$C$5+1,DATE(J$61,1,1))+DATE(J$61,12,31))/2-Inputs!$C$5)/365</f>
        <v>6.00958904109589</v>
      </c>
      <c r="K72" s="37" t="n">
        <f aca="false">((MAX(Inputs!$C$5+1,DATE(K$61,1,1))+DATE(K$61,12,31))/2-Inputs!$C$5)/365</f>
        <v>7.01095890410959</v>
      </c>
      <c r="L72" s="37" t="n">
        <f aca="false">((MAX(Inputs!$C$5+1,DATE(L$61,1,1))+DATE(L$61,12,31))/2-Inputs!$C$5)/365</f>
        <v>8.01095890410959</v>
      </c>
      <c r="M72" s="37" t="n">
        <f aca="false">((MAX(Inputs!$C$5+1,DATE(M$61,1,1))+DATE(M$61,12,31))/2-Inputs!$C$5)/365</f>
        <v>9.01095890410959</v>
      </c>
      <c r="N72" s="37" t="n">
        <f aca="false">((MAX(Inputs!$C$5+1,DATE(N$61,1,1))+DATE(N$61,12,31))/2-Inputs!$C$5)/365</f>
        <v>10.0123287671233</v>
      </c>
      <c r="O72" s="37" t="n">
        <f aca="false">((MAX(Inputs!$C$5+1,DATE(O$61,1,1))+DATE(O$61,12,31))/2-Inputs!$C$5)/365</f>
        <v>11.013698630137</v>
      </c>
      <c r="P72" s="37" t="n">
        <f aca="false">((MAX(Inputs!$C$5+1,DATE(P$61,1,1))+DATE(P$61,12,31))/2-Inputs!$C$5)/365</f>
        <v>12.013698630137</v>
      </c>
      <c r="Q72" s="37" t="n">
        <f aca="false">((MAX(Inputs!$C$5+1,DATE(Q$61,1,1))+DATE(Q$61,12,31))/2-Inputs!$C$5)/365</f>
        <v>13.013698630137</v>
      </c>
      <c r="R72" s="37" t="n">
        <f aca="false">((MAX(Inputs!$C$5+1,DATE(R$61,1,1))+DATE(R$61,12,31))/2-Inputs!$C$5)/365</f>
        <v>14.0150684931507</v>
      </c>
      <c r="S72" s="37" t="n">
        <f aca="false">((MAX(Inputs!$C$5+1,DATE(S$61,1,1))+DATE(S$61,12,31))/2-Inputs!$C$5)/365</f>
        <v>15.0164383561644</v>
      </c>
      <c r="T72" s="37" t="n">
        <f aca="false">((MAX(Inputs!$C$5+1,DATE(T$61,1,1))+DATE(T$61,12,31))/2-Inputs!$C$5)/365</f>
        <v>16.0164383561644</v>
      </c>
      <c r="U72" s="37" t="n">
        <f aca="false">((MAX(Inputs!$C$5+1,DATE(U$61,1,1))+DATE(U$61,12,31))/2-Inputs!$C$5)/365</f>
        <v>17.0164383561644</v>
      </c>
      <c r="V72" s="37" t="n">
        <f aca="false">((MAX(Inputs!$C$5+1,DATE(V$61,1,1))+DATE(V$61,12,31))/2-Inputs!$C$5)/365</f>
        <v>18.0178082191781</v>
      </c>
      <c r="W72" s="37" t="n">
        <f aca="false">((MAX(Inputs!$C$5+1,DATE(W$61,1,1))+DATE(W$61,12,31))/2-Inputs!$C$5)/365</f>
        <v>19.0191780821918</v>
      </c>
      <c r="X72" s="37" t="n">
        <f aca="false">((MAX(Inputs!$C$5+1,DATE(X$61,1,1))+DATE(X$61,12,31))/2-Inputs!$C$5)/365</f>
        <v>20.0191780821918</v>
      </c>
      <c r="Y72" s="37" t="n">
        <f aca="false">((MAX(Inputs!$C$5+1,DATE(Y$61,1,1))+DATE(Y$61,12,31))/2-Inputs!$C$5)/365</f>
        <v>21.0191780821918</v>
      </c>
      <c r="Z72" s="37" t="n">
        <f aca="false">((MAX(Inputs!$C$5+1,DATE(Z$61,1,1))+DATE(Z$61,12,31))/2-Inputs!$C$5)/365</f>
        <v>22.0205479452055</v>
      </c>
      <c r="AA72" s="37" t="n">
        <f aca="false">((MAX(Inputs!$C$5+1,DATE(AA$61,1,1))+DATE(AA$61,12,31))/2-Inputs!$C$5)/365</f>
        <v>23.0219178082192</v>
      </c>
      <c r="AB72" s="37" t="n">
        <f aca="false">((MAX(Inputs!$C$5+1,DATE(AB$61,1,1))+DATE(AB$61,12,31))/2-Inputs!$C$5)/365</f>
        <v>24.0219178082192</v>
      </c>
      <c r="AC72" s="37" t="n">
        <f aca="false">((MAX(Inputs!$C$5+1,DATE(AC$61,1,1))+DATE(AC$61,12,31))/2-Inputs!$C$5)/365</f>
        <v>25.0219178082192</v>
      </c>
      <c r="AD72" s="37" t="n">
        <f aca="false">((MAX(Inputs!$C$5+1,DATE(AD$61,1,1))+DATE(AD$61,12,31))/2-Inputs!$C$5)/365</f>
        <v>26.0232876712329</v>
      </c>
      <c r="AE72" s="37" t="n">
        <f aca="false">((MAX(Inputs!$C$5+1,DATE(AE$61,1,1))+DATE(AE$61,12,31))/2-Inputs!$C$5)/365</f>
        <v>27.0246575342466</v>
      </c>
      <c r="AF72" s="37" t="n">
        <f aca="false">((MAX(Inputs!$C$5+1,DATE(AF$61,1,1))+DATE(AF$61,12,31))/2-Inputs!$C$5)/365</f>
        <v>28.0246575342466</v>
      </c>
      <c r="AG72" s="37" t="n">
        <f aca="false">((MAX(Inputs!$C$5+1,DATE(AG$61,1,1))+DATE(AG$61,12,31))/2-Inputs!$C$5)/365</f>
        <v>29.0246575342466</v>
      </c>
      <c r="AH72" s="37" t="n">
        <f aca="false">((MAX(Inputs!$C$5+1,DATE(AH$61,1,1))+DATE(AH$61,12,31))/2-Inputs!$C$5)/365</f>
        <v>30.0260273972603</v>
      </c>
      <c r="AI72" s="37" t="n">
        <f aca="false">((MAX(Inputs!$C$5+1,DATE(AI$61,1,1))+DATE(AI$61,12,31))/2-Inputs!$C$5)/365</f>
        <v>31.027397260274</v>
      </c>
      <c r="AJ72" s="37" t="n">
        <f aca="false">((MAX(Inputs!$C$5+1,DATE(AJ$61,1,1))+DATE(AJ$61,12,31))/2-Inputs!$C$5)/365</f>
        <v>32.027397260274</v>
      </c>
      <c r="AK72" s="37" t="n">
        <f aca="false">((MAX(Inputs!$C$5+1,DATE(AK$61,1,1))+DATE(AK$61,12,31))/2-Inputs!$C$5)/365</f>
        <v>33.027397260274</v>
      </c>
      <c r="AL72" s="37" t="n">
        <f aca="false">((MAX(Inputs!$C$5+1,DATE(AL$61,1,1))+DATE(AL$61,12,31))/2-Inputs!$C$5)/365</f>
        <v>34.0287671232877</v>
      </c>
      <c r="AM72" s="37" t="n">
        <f aca="false">((MAX(Inputs!$C$5+1,DATE(AM$61,1,1))+DATE(AM$61,12,31))/2-Inputs!$C$5)/365</f>
        <v>35.0301369863014</v>
      </c>
      <c r="AN72" s="37" t="n">
        <f aca="false">((MAX(Inputs!$C$5+1,DATE(AN$61,1,1))+DATE(AN$61,12,31))/2-Inputs!$C$5)/365</f>
        <v>36.0301369863014</v>
      </c>
      <c r="AO72" s="37" t="n">
        <f aca="false">((MAX(Inputs!$C$5+1,DATE(AO$61,1,1))+DATE(AO$61,12,31))/2-Inputs!$C$5)/365</f>
        <v>37.0301369863014</v>
      </c>
      <c r="AP72" s="37" t="n">
        <f aca="false">((MAX(Inputs!$C$5+1,DATE(AP$61,1,1))+DATE(AP$61,12,31))/2-Inputs!$C$5)/365</f>
        <v>38.0315068493151</v>
      </c>
      <c r="AQ72" s="37" t="n">
        <f aca="false">((MAX(Inputs!$C$5+1,DATE(AQ$61,1,1))+DATE(AQ$61,12,31))/2-Inputs!$C$5)/365</f>
        <v>39.0328767123288</v>
      </c>
      <c r="AR72" s="37" t="n">
        <f aca="false">((MAX(Inputs!$C$5+1,DATE(AR$61,1,1))+DATE(AR$61,12,31))/2-Inputs!$C$5)/365</f>
        <v>40.0328767123288</v>
      </c>
      <c r="AS72" s="37" t="n">
        <f aca="false">((MAX(Inputs!$C$5+1,DATE(AS$61,1,1))+DATE(AS$61,12,31))/2-Inputs!$C$5)/365</f>
        <v>41.0328767123288</v>
      </c>
      <c r="AT72" s="37" t="n">
        <f aca="false">((MAX(Inputs!$C$5+1,DATE(AT$61,1,1))+DATE(AT$61,12,31))/2-Inputs!$C$5)/365</f>
        <v>42.0342465753425</v>
      </c>
      <c r="AU72" s="37" t="n">
        <f aca="false">((MAX(Inputs!$C$5+1,DATE(AU$61,1,1))+DATE(AU$61,12,31))/2-Inputs!$C$5)/365</f>
        <v>43.0356164383562</v>
      </c>
      <c r="AV72" s="37" t="n">
        <f aca="false">((MAX(Inputs!$C$5+1,DATE(AV$61,1,1))+DATE(AV$61,12,31))/2-Inputs!$C$5)/365</f>
        <v>44.0356164383562</v>
      </c>
    </row>
    <row r="73" customFormat="false" ht="15" hidden="false" customHeight="false" outlineLevel="0" collapsed="false">
      <c r="B73" s="7" t="s">
        <v>148</v>
      </c>
      <c r="D73" s="39" t="n">
        <f aca="false">1/(1+$C$54)^D72</f>
        <v>0.978397203200826</v>
      </c>
      <c r="E73" s="39" t="n">
        <f aca="false">1/(1+$C$54)^E72</f>
        <v>0.916998077905709</v>
      </c>
      <c r="F73" s="39" t="n">
        <f aca="false">1/(1+$C$54)^F72</f>
        <v>0.84118333134809</v>
      </c>
      <c r="G73" s="39" t="n">
        <f aca="false">1/(1+$C$54)^G72</f>
        <v>0.771636728567526</v>
      </c>
      <c r="H73" s="39" t="n">
        <f aca="false">1/(1+$C$54)^H72</f>
        <v>0.707923604190391</v>
      </c>
      <c r="I73" s="39" t="n">
        <f aca="false">1/(1+$C$54)^I72</f>
        <v>0.649471196504945</v>
      </c>
      <c r="J73" s="39" t="n">
        <f aca="false">1/(1+$C$54)^J72</f>
        <v>0.595774798065429</v>
      </c>
      <c r="K73" s="39" t="n">
        <f aca="false">1/(1+$C$54)^K72</f>
        <v>0.546517862408698</v>
      </c>
      <c r="L73" s="39" t="n">
        <f aca="false">1/(1+$C$54)^L72</f>
        <v>0.501392534319906</v>
      </c>
      <c r="M73" s="39" t="n">
        <f aca="false">1/(1+$C$54)^M72</f>
        <v>0.459993150752208</v>
      </c>
      <c r="N73" s="39" t="n">
        <f aca="false">1/(1+$C$54)^N72</f>
        <v>0.421962248634978</v>
      </c>
      <c r="O73" s="39" t="n">
        <f aca="false">1/(1+$C$54)^O72</f>
        <v>0.387075631413046</v>
      </c>
      <c r="P73" s="39" t="n">
        <f aca="false">1/(1+$C$54)^P72</f>
        <v>0.355115258177107</v>
      </c>
      <c r="Q73" s="39" t="n">
        <f aca="false">1/(1+$C$54)^Q72</f>
        <v>0.325793814841382</v>
      </c>
      <c r="R73" s="39" t="n">
        <f aca="false">1/(1+$C$54)^R72</f>
        <v>0.298858125337375</v>
      </c>
      <c r="S73" s="39" t="n">
        <f aca="false">1/(1+$C$54)^S72</f>
        <v>0.274149400668197</v>
      </c>
      <c r="T73" s="39" t="n">
        <f aca="false">1/(1+$C$54)^T72</f>
        <v>0.251513211622199</v>
      </c>
      <c r="U73" s="39" t="n">
        <f aca="false">1/(1+$C$54)^U72</f>
        <v>0.230746065708439</v>
      </c>
      <c r="V73" s="39" t="n">
        <f aca="false">1/(1+$C$54)^V72</f>
        <v>0.21166864895877</v>
      </c>
      <c r="W73" s="39" t="n">
        <f aca="false">1/(1+$C$54)^W72</f>
        <v>0.194168497800707</v>
      </c>
      <c r="X73" s="39" t="n">
        <f aca="false">1/(1+$C$54)^X72</f>
        <v>0.17813623651441</v>
      </c>
      <c r="Y73" s="39" t="n">
        <f aca="false">1/(1+$C$54)^Y72</f>
        <v>0.163427739921477</v>
      </c>
      <c r="Z73" s="39" t="n">
        <f aca="false">1/(1+$C$54)^Z72</f>
        <v>0.149916007474961</v>
      </c>
      <c r="AA73" s="39" t="n">
        <f aca="false">1/(1+$C$54)^AA72</f>
        <v>0.137521385953396</v>
      </c>
      <c r="AB73" s="39" t="n">
        <f aca="false">1/(1+$C$54)^AB72</f>
        <v>0.126166409131556</v>
      </c>
      <c r="AC73" s="39" t="n">
        <f aca="false">1/(1+$C$54)^AC72</f>
        <v>0.115748999203262</v>
      </c>
      <c r="AD73" s="39" t="n">
        <f aca="false">1/(1+$C$54)^AD72</f>
        <v>0.106179207019035</v>
      </c>
      <c r="AE73" s="39" t="n">
        <f aca="false">1/(1+$C$54)^AE72</f>
        <v>0.0974006175499904</v>
      </c>
      <c r="AF73" s="39" t="n">
        <f aca="false">1/(1+$C$54)^AF72</f>
        <v>0.0893583647247619</v>
      </c>
      <c r="AG73" s="39" t="n">
        <f aca="false">1/(1+$C$54)^AG72</f>
        <v>0.0819801511236347</v>
      </c>
      <c r="AH73" s="39" t="n">
        <f aca="false">1/(1+$C$54)^AH72</f>
        <v>0.0752022695446585</v>
      </c>
      <c r="AI73" s="39" t="n">
        <f aca="false">1/(1+$C$54)^AI72</f>
        <v>0.0689847635940383</v>
      </c>
      <c r="AJ73" s="39" t="n">
        <f aca="false">1/(1+$C$54)^AJ72</f>
        <v>0.0632887739394847</v>
      </c>
      <c r="AK73" s="39" t="n">
        <f aca="false">1/(1+$C$54)^AK72</f>
        <v>0.0580630953573254</v>
      </c>
      <c r="AL73" s="39" t="n">
        <f aca="false">1/(1+$C$54)^AL72</f>
        <v>0.0532626067140775</v>
      </c>
      <c r="AM73" s="39" t="n">
        <f aca="false">1/(1+$C$54)^AM72</f>
        <v>0.0488590085754115</v>
      </c>
      <c r="AN73" s="39" t="n">
        <f aca="false">1/(1+$C$54)^AN72</f>
        <v>0.0448247785095518</v>
      </c>
      <c r="AO73" s="39" t="n">
        <f aca="false">1/(1+$C$54)^AO72</f>
        <v>0.0411236500087631</v>
      </c>
      <c r="AP73" s="39" t="n">
        <f aca="false">1/(1+$C$54)^AP72</f>
        <v>0.0377236656706725</v>
      </c>
      <c r="AQ73" s="39" t="n">
        <f aca="false">1/(1+$C$54)^AQ72</f>
        <v>0.0346047821953895</v>
      </c>
      <c r="AR73" s="39" t="n">
        <f aca="false">1/(1+$C$54)^AR72</f>
        <v>0.0317475066012748</v>
      </c>
      <c r="AS73" s="39" t="n">
        <f aca="false">1/(1+$C$54)^AS72</f>
        <v>0.0291261528452062</v>
      </c>
      <c r="AT73" s="39" t="n">
        <f aca="false">1/(1+$C$54)^AT72</f>
        <v>0.0267180868422752</v>
      </c>
      <c r="AU73" s="39" t="n">
        <f aca="false">1/(1+$C$54)^AU72</f>
        <v>0.0245091127656034</v>
      </c>
      <c r="AV73" s="39" t="n">
        <f aca="false">1/(1+$C$54)^AV72</f>
        <v>0.0224854245555995</v>
      </c>
    </row>
    <row r="74" customFormat="false" ht="15" hidden="false" customHeight="false" outlineLevel="0" collapsed="false">
      <c r="B74" s="12" t="s">
        <v>149</v>
      </c>
      <c r="D74" s="40" t="n">
        <f aca="false">D71*D73</f>
        <v>-205.15547457469</v>
      </c>
      <c r="E74" s="40" t="n">
        <f aca="false">E71*E73</f>
        <v>-344.033938583353</v>
      </c>
      <c r="F74" s="40" t="n">
        <f aca="false">F71*F73</f>
        <v>-332.277581115799</v>
      </c>
      <c r="G74" s="40" t="n">
        <f aca="false">G71*G73</f>
        <v>-319.171681252348</v>
      </c>
      <c r="H74" s="40" t="n">
        <f aca="false">H71*H73</f>
        <v>-307.458959004556</v>
      </c>
      <c r="I74" s="40" t="n">
        <f aca="false">I71*I73</f>
        <v>-0</v>
      </c>
      <c r="J74" s="40" t="n">
        <f aca="false">J71*J73</f>
        <v>-0</v>
      </c>
      <c r="K74" s="40" t="n">
        <f aca="false">K71*K73</f>
        <v>-0</v>
      </c>
      <c r="L74" s="40" t="n">
        <f aca="false">L71*L73</f>
        <v>-0</v>
      </c>
      <c r="M74" s="40" t="n">
        <f aca="false">M71*M73</f>
        <v>-0</v>
      </c>
      <c r="N74" s="40" t="n">
        <f aca="false">N71*N73</f>
        <v>-0</v>
      </c>
      <c r="O74" s="40" t="n">
        <f aca="false">O71*O73</f>
        <v>-0</v>
      </c>
      <c r="P74" s="40" t="n">
        <f aca="false">P71*P73</f>
        <v>-0</v>
      </c>
      <c r="Q74" s="40" t="n">
        <f aca="false">Q71*Q73</f>
        <v>-0</v>
      </c>
      <c r="R74" s="40" t="n">
        <f aca="false">R71*R73</f>
        <v>-0</v>
      </c>
      <c r="S74" s="40" t="n">
        <f aca="false">S71*S73</f>
        <v>-0</v>
      </c>
      <c r="T74" s="40" t="n">
        <f aca="false">T71*T73</f>
        <v>-0</v>
      </c>
      <c r="U74" s="40" t="n">
        <f aca="false">U71*U73</f>
        <v>-0</v>
      </c>
      <c r="V74" s="40" t="n">
        <f aca="false">V71*V73</f>
        <v>-0</v>
      </c>
      <c r="W74" s="40" t="n">
        <f aca="false">W71*W73</f>
        <v>-0</v>
      </c>
      <c r="X74" s="40" t="n">
        <f aca="false">X71*X73</f>
        <v>-0</v>
      </c>
      <c r="Y74" s="40" t="n">
        <f aca="false">Y71*Y73</f>
        <v>-0</v>
      </c>
      <c r="Z74" s="40" t="n">
        <f aca="false">Z71*Z73</f>
        <v>-0</v>
      </c>
      <c r="AA74" s="40" t="n">
        <f aca="false">AA71*AA73</f>
        <v>-0</v>
      </c>
      <c r="AB74" s="40" t="n">
        <f aca="false">AB71*AB73</f>
        <v>-0</v>
      </c>
      <c r="AC74" s="40" t="n">
        <f aca="false">AC71*AC73</f>
        <v>-0</v>
      </c>
      <c r="AD74" s="40" t="n">
        <f aca="false">AD71*AD73</f>
        <v>-0</v>
      </c>
      <c r="AE74" s="40" t="n">
        <f aca="false">AE71*AE73</f>
        <v>-0</v>
      </c>
      <c r="AF74" s="40" t="n">
        <f aca="false">AF71*AF73</f>
        <v>-0</v>
      </c>
      <c r="AG74" s="40" t="n">
        <f aca="false">AG71*AG73</f>
        <v>-0</v>
      </c>
      <c r="AH74" s="40" t="n">
        <f aca="false">AH71*AH73</f>
        <v>-0</v>
      </c>
      <c r="AI74" s="40" t="n">
        <f aca="false">AI71*AI73</f>
        <v>-0</v>
      </c>
      <c r="AJ74" s="40" t="n">
        <f aca="false">AJ71*AJ73</f>
        <v>-0</v>
      </c>
      <c r="AK74" s="40" t="n">
        <f aca="false">AK71*AK73</f>
        <v>-0</v>
      </c>
      <c r="AL74" s="40" t="n">
        <f aca="false">AL71*AL73</f>
        <v>-0</v>
      </c>
      <c r="AM74" s="40" t="n">
        <f aca="false">AM71*AM73</f>
        <v>-0</v>
      </c>
      <c r="AN74" s="40" t="n">
        <f aca="false">AN71*AN73</f>
        <v>-0</v>
      </c>
      <c r="AO74" s="40" t="n">
        <f aca="false">AO71*AO73</f>
        <v>-0</v>
      </c>
      <c r="AP74" s="40" t="n">
        <f aca="false">AP71*AP73</f>
        <v>-0</v>
      </c>
      <c r="AQ74" s="40" t="n">
        <f aca="false">AQ71*AQ73</f>
        <v>-0</v>
      </c>
      <c r="AR74" s="40" t="n">
        <f aca="false">AR71*AR73</f>
        <v>-0</v>
      </c>
      <c r="AS74" s="40" t="n">
        <f aca="false">AS71*AS73</f>
        <v>-0</v>
      </c>
      <c r="AT74" s="40" t="n">
        <f aca="false">AT71*AT73</f>
        <v>-0</v>
      </c>
      <c r="AU74" s="40" t="n">
        <f aca="false">AU71*AU73</f>
        <v>-0</v>
      </c>
      <c r="AV74" s="40" t="n">
        <f aca="false">AV71*AV73</f>
        <v>-0</v>
      </c>
    </row>
    <row r="75" customFormat="false" ht="15" hidden="false" customHeight="false" outlineLevel="0" collapsed="false">
      <c r="B75" s="7" t="s">
        <v>150</v>
      </c>
      <c r="D75" s="16" t="n">
        <f aca="false">IF(AND($C$55=0,D$61=$C$57),D64-D63*($C$59+$C$53)-MAX(0,D64-D63*$C$59)*Inputs!$C$11,0)</f>
        <v>0</v>
      </c>
      <c r="E75" s="16" t="n">
        <f aca="false">IF(AND($C$55=0,E$61=$C$57),E64-E63*($C$59+$C$53)-MAX(0,E64-E63*$C$59)*Inputs!$C$11,0)</f>
        <v>0</v>
      </c>
      <c r="F75" s="16" t="n">
        <f aca="false">IF(AND($C$55=0,F$61=$C$57),F64-F63*($C$59+$C$53)-MAX(0,F64-F63*$C$59)*Inputs!$C$11,0)</f>
        <v>0</v>
      </c>
      <c r="G75" s="16" t="n">
        <f aca="false">IF(AND($C$55=0,G$61=$C$57),G64-G63*($C$59+$C$53)-MAX(0,G64-G63*$C$59)*Inputs!$C$11,0)</f>
        <v>0</v>
      </c>
      <c r="H75" s="16" t="n">
        <f aca="false">IF(AND($C$55=0,H$61=$C$57),H64-H63*($C$59+$C$53)-MAX(0,H64-H63*$C$59)*Inputs!$C$11,0)</f>
        <v>516.708977645335</v>
      </c>
      <c r="I75" s="16" t="n">
        <f aca="false">IF(AND($C$55=0,I$61=$C$57),I64-I63*($C$59+$C$53)-MAX(0,I64-I63*$C$59)*Inputs!$C$11,0)</f>
        <v>0</v>
      </c>
      <c r="J75" s="16" t="n">
        <f aca="false">IF(AND($C$55=0,J$61=$C$57),J64-J63*($C$59+$C$53)-MAX(0,J64-J63*$C$59)*Inputs!$C$11,0)</f>
        <v>0</v>
      </c>
      <c r="K75" s="16" t="n">
        <f aca="false">IF(AND($C$55=0,K$61=$C$57),K64-K63*($C$59+$C$53)-MAX(0,K64-K63*$C$59)*Inputs!$C$11,0)</f>
        <v>0</v>
      </c>
      <c r="L75" s="16" t="n">
        <f aca="false">IF(AND($C$55=0,L$61=$C$57),L64-L63*($C$59+$C$53)-MAX(0,L64-L63*$C$59)*Inputs!$C$11,0)</f>
        <v>0</v>
      </c>
      <c r="M75" s="16" t="n">
        <f aca="false">IF(AND($C$55=0,M$61=$C$57),M64-M63*($C$59+$C$53)-MAX(0,M64-M63*$C$59)*Inputs!$C$11,0)</f>
        <v>0</v>
      </c>
      <c r="N75" s="16" t="n">
        <f aca="false">IF(AND($C$55=0,N$61=$C$57),N64-N63*($C$59+$C$53)-MAX(0,N64-N63*$C$59)*Inputs!$C$11,0)</f>
        <v>0</v>
      </c>
      <c r="O75" s="16" t="n">
        <f aca="false">IF(AND($C$55=0,O$61=$C$57),O64-O63*($C$59+$C$53)-MAX(0,O64-O63*$C$59)*Inputs!$C$11,0)</f>
        <v>0</v>
      </c>
      <c r="P75" s="16" t="n">
        <f aca="false">IF(AND($C$55=0,P$61=$C$57),P64-P63*($C$59+$C$53)-MAX(0,P64-P63*$C$59)*Inputs!$C$11,0)</f>
        <v>0</v>
      </c>
      <c r="Q75" s="16" t="n">
        <f aca="false">IF(AND($C$55=0,Q$61=$C$57),Q64-Q63*($C$59+$C$53)-MAX(0,Q64-Q63*$C$59)*Inputs!$C$11,0)</f>
        <v>0</v>
      </c>
      <c r="R75" s="16" t="n">
        <f aca="false">IF(AND($C$55=0,R$61=$C$57),R64-R63*($C$59+$C$53)-MAX(0,R64-R63*$C$59)*Inputs!$C$11,0)</f>
        <v>0</v>
      </c>
      <c r="S75" s="16" t="n">
        <f aca="false">IF(AND($C$55=0,S$61=$C$57),S64-S63*($C$59+$C$53)-MAX(0,S64-S63*$C$59)*Inputs!$C$11,0)</f>
        <v>0</v>
      </c>
      <c r="T75" s="16" t="n">
        <f aca="false">IF(AND($C$55=0,T$61=$C$57),T64-T63*($C$59+$C$53)-MAX(0,T64-T63*$C$59)*Inputs!$C$11,0)</f>
        <v>0</v>
      </c>
      <c r="U75" s="16" t="n">
        <f aca="false">IF(AND($C$55=0,U$61=$C$57),U64-U63*($C$59+$C$53)-MAX(0,U64-U63*$C$59)*Inputs!$C$11,0)</f>
        <v>0</v>
      </c>
      <c r="V75" s="16" t="n">
        <f aca="false">IF(AND($C$55=0,V$61=$C$57),V64-V63*($C$59+$C$53)-MAX(0,V64-V63*$C$59)*Inputs!$C$11,0)</f>
        <v>0</v>
      </c>
      <c r="W75" s="16" t="n">
        <f aca="false">IF(AND($C$55=0,W$61=$C$57),W64-W63*($C$59+$C$53)-MAX(0,W64-W63*$C$59)*Inputs!$C$11,0)</f>
        <v>0</v>
      </c>
      <c r="X75" s="16" t="n">
        <f aca="false">IF(AND($C$55=0,X$61=$C$57),X64-X63*($C$59+$C$53)-MAX(0,X64-X63*$C$59)*Inputs!$C$11,0)</f>
        <v>0</v>
      </c>
      <c r="Y75" s="16" t="n">
        <f aca="false">IF(AND($C$55=0,Y$61=$C$57),Y64-Y63*($C$59+$C$53)-MAX(0,Y64-Y63*$C$59)*Inputs!$C$11,0)</f>
        <v>0</v>
      </c>
      <c r="Z75" s="16" t="n">
        <f aca="false">IF(AND($C$55=0,Z$61=$C$57),Z64-Z63*($C$59+$C$53)-MAX(0,Z64-Z63*$C$59)*Inputs!$C$11,0)</f>
        <v>0</v>
      </c>
      <c r="AA75" s="16" t="n">
        <f aca="false">IF(AND($C$55=0,AA$61=$C$57),AA64-AA63*($C$59+$C$53)-MAX(0,AA64-AA63*$C$59)*Inputs!$C$11,0)</f>
        <v>0</v>
      </c>
      <c r="AB75" s="16" t="n">
        <f aca="false">IF(AND($C$55=0,AB$61=$C$57),AB64-AB63*($C$59+$C$53)-MAX(0,AB64-AB63*$C$59)*Inputs!$C$11,0)</f>
        <v>0</v>
      </c>
      <c r="AC75" s="16" t="n">
        <f aca="false">IF(AND($C$55=0,AC$61=$C$57),AC64-AC63*($C$59+$C$53)-MAX(0,AC64-AC63*$C$59)*Inputs!$C$11,0)</f>
        <v>0</v>
      </c>
      <c r="AD75" s="16" t="n">
        <f aca="false">IF(AND($C$55=0,AD$61=$C$57),AD64-AD63*($C$59+$C$53)-MAX(0,AD64-AD63*$C$59)*Inputs!$C$11,0)</f>
        <v>0</v>
      </c>
      <c r="AE75" s="16" t="n">
        <f aca="false">IF(AND($C$55=0,AE$61=$C$57),AE64-AE63*($C$59+$C$53)-MAX(0,AE64-AE63*$C$59)*Inputs!$C$11,0)</f>
        <v>0</v>
      </c>
      <c r="AF75" s="16" t="n">
        <f aca="false">IF(AND($C$55=0,AF$61=$C$57),AF64-AF63*($C$59+$C$53)-MAX(0,AF64-AF63*$C$59)*Inputs!$C$11,0)</f>
        <v>0</v>
      </c>
      <c r="AG75" s="16" t="n">
        <f aca="false">IF(AND($C$55=0,AG$61=$C$57),AG64-AG63*($C$59+$C$53)-MAX(0,AG64-AG63*$C$59)*Inputs!$C$11,0)</f>
        <v>0</v>
      </c>
      <c r="AH75" s="16" t="n">
        <f aca="false">IF(AND($C$55=0,AH$61=$C$57),AH64-AH63*($C$59+$C$53)-MAX(0,AH64-AH63*$C$59)*Inputs!$C$11,0)</f>
        <v>0</v>
      </c>
      <c r="AI75" s="16" t="n">
        <f aca="false">IF(AND($C$55=0,AI$61=$C$57),AI64-AI63*($C$59+$C$53)-MAX(0,AI64-AI63*$C$59)*Inputs!$C$11,0)</f>
        <v>0</v>
      </c>
      <c r="AJ75" s="16" t="n">
        <f aca="false">IF(AND($C$55=0,AJ$61=$C$57),AJ64-AJ63*($C$59+$C$53)-MAX(0,AJ64-AJ63*$C$59)*Inputs!$C$11,0)</f>
        <v>0</v>
      </c>
      <c r="AK75" s="16" t="n">
        <f aca="false">IF(AND($C$55=0,AK$61=$C$57),AK64-AK63*($C$59+$C$53)-MAX(0,AK64-AK63*$C$59)*Inputs!$C$11,0)</f>
        <v>0</v>
      </c>
      <c r="AL75" s="16" t="n">
        <f aca="false">IF(AND($C$55=0,AL$61=$C$57),AL64-AL63*($C$59+$C$53)-MAX(0,AL64-AL63*$C$59)*Inputs!$C$11,0)</f>
        <v>0</v>
      </c>
      <c r="AM75" s="16" t="n">
        <f aca="false">IF(AND($C$55=0,AM$61=$C$57),AM64-AM63*($C$59+$C$53)-MAX(0,AM64-AM63*$C$59)*Inputs!$C$11,0)</f>
        <v>0</v>
      </c>
      <c r="AN75" s="16" t="n">
        <f aca="false">IF(AND($C$55=0,AN$61=$C$57),AN64-AN63*($C$59+$C$53)-MAX(0,AN64-AN63*$C$59)*Inputs!$C$11,0)</f>
        <v>0</v>
      </c>
      <c r="AO75" s="16" t="n">
        <f aca="false">IF(AND($C$55=0,AO$61=$C$57),AO64-AO63*($C$59+$C$53)-MAX(0,AO64-AO63*$C$59)*Inputs!$C$11,0)</f>
        <v>0</v>
      </c>
      <c r="AP75" s="16" t="n">
        <f aca="false">IF(AND($C$55=0,AP$61=$C$57),AP64-AP63*($C$59+$C$53)-MAX(0,AP64-AP63*$C$59)*Inputs!$C$11,0)</f>
        <v>0</v>
      </c>
      <c r="AQ75" s="16" t="n">
        <f aca="false">IF(AND($C$55=0,AQ$61=$C$57),AQ64-AQ63*($C$59+$C$53)-MAX(0,AQ64-AQ63*$C$59)*Inputs!$C$11,0)</f>
        <v>0</v>
      </c>
      <c r="AR75" s="16" t="n">
        <f aca="false">IF(AND($C$55=0,AR$61=$C$57),AR64-AR63*($C$59+$C$53)-MAX(0,AR64-AR63*$C$59)*Inputs!$C$11,0)</f>
        <v>0</v>
      </c>
      <c r="AS75" s="16" t="n">
        <f aca="false">IF(AND($C$55=0,AS$61=$C$57),AS64-AS63*($C$59+$C$53)-MAX(0,AS64-AS63*$C$59)*Inputs!$C$11,0)</f>
        <v>0</v>
      </c>
      <c r="AT75" s="16" t="n">
        <f aca="false">IF(AND($C$55=0,AT$61=$C$57),AT64-AT63*($C$59+$C$53)-MAX(0,AT64-AT63*$C$59)*Inputs!$C$11,0)</f>
        <v>0</v>
      </c>
      <c r="AU75" s="16" t="n">
        <f aca="false">IF(AND($C$55=0,AU$61=$C$57),AU64-AU63*($C$59+$C$53)-MAX(0,AU64-AU63*$C$59)*Inputs!$C$11,0)</f>
        <v>0</v>
      </c>
      <c r="AV75" s="16" t="n">
        <f aca="false">IF(AND($C$55=0,AV$61=$C$57),AV64-AV63*($C$59+$C$53)-MAX(0,AV64-AV63*$C$59)*Inputs!$C$11,0)</f>
        <v>0</v>
      </c>
    </row>
    <row r="76" customFormat="false" ht="15" hidden="false" customHeight="false" outlineLevel="0" collapsed="false">
      <c r="B76" s="7" t="s">
        <v>151</v>
      </c>
      <c r="D76" s="16" t="n">
        <f aca="false">D75*(1+$C$58)/($C$54-$C$58)*D73</f>
        <v>0</v>
      </c>
      <c r="E76" s="16" t="n">
        <f aca="false">E75*(1+$C$58)/($C$54-$C$58)*E73</f>
        <v>0</v>
      </c>
      <c r="F76" s="16" t="n">
        <f aca="false">F75*(1+$C$58)/($C$54-$C$58)*F73</f>
        <v>0</v>
      </c>
      <c r="G76" s="16" t="n">
        <f aca="false">G75*(1+$C$58)/($C$54-$C$58)*G73</f>
        <v>0</v>
      </c>
      <c r="H76" s="16" t="n">
        <f aca="false">H75*(1+$C$58)/($C$54-$C$58)*H73</f>
        <v>5330.08987725231</v>
      </c>
      <c r="I76" s="16" t="n">
        <f aca="false">I75*(1+$C$58)/($C$54-$C$58)*I73</f>
        <v>0</v>
      </c>
      <c r="J76" s="16" t="n">
        <f aca="false">J75*(1+$C$58)/($C$54-$C$58)*J73</f>
        <v>0</v>
      </c>
      <c r="K76" s="16" t="n">
        <f aca="false">K75*(1+$C$58)/($C$54-$C$58)*K73</f>
        <v>0</v>
      </c>
      <c r="L76" s="16" t="n">
        <f aca="false">L75*(1+$C$58)/($C$54-$C$58)*L73</f>
        <v>0</v>
      </c>
      <c r="M76" s="16" t="n">
        <f aca="false">M75*(1+$C$58)/($C$54-$C$58)*M73</f>
        <v>0</v>
      </c>
      <c r="N76" s="16" t="n">
        <f aca="false">N75*(1+$C$58)/($C$54-$C$58)*N73</f>
        <v>0</v>
      </c>
      <c r="O76" s="16" t="n">
        <f aca="false">O75*(1+$C$58)/($C$54-$C$58)*O73</f>
        <v>0</v>
      </c>
      <c r="P76" s="16" t="n">
        <f aca="false">P75*(1+$C$58)/($C$54-$C$58)*P73</f>
        <v>0</v>
      </c>
      <c r="Q76" s="16" t="n">
        <f aca="false">Q75*(1+$C$58)/($C$54-$C$58)*Q73</f>
        <v>0</v>
      </c>
      <c r="R76" s="16" t="n">
        <f aca="false">R75*(1+$C$58)/($C$54-$C$58)*R73</f>
        <v>0</v>
      </c>
      <c r="S76" s="16" t="n">
        <f aca="false">S75*(1+$C$58)/($C$54-$C$58)*S73</f>
        <v>0</v>
      </c>
      <c r="T76" s="16" t="n">
        <f aca="false">T75*(1+$C$58)/($C$54-$C$58)*T73</f>
        <v>0</v>
      </c>
      <c r="U76" s="16" t="n">
        <f aca="false">U75*(1+$C$58)/($C$54-$C$58)*U73</f>
        <v>0</v>
      </c>
      <c r="V76" s="16" t="n">
        <f aca="false">V75*(1+$C$58)/($C$54-$C$58)*V73</f>
        <v>0</v>
      </c>
      <c r="W76" s="16" t="n">
        <f aca="false">W75*(1+$C$58)/($C$54-$C$58)*W73</f>
        <v>0</v>
      </c>
      <c r="X76" s="16" t="n">
        <f aca="false">X75*(1+$C$58)/($C$54-$C$58)*X73</f>
        <v>0</v>
      </c>
      <c r="Y76" s="16" t="n">
        <f aca="false">Y75*(1+$C$58)/($C$54-$C$58)*Y73</f>
        <v>0</v>
      </c>
      <c r="Z76" s="16" t="n">
        <f aca="false">Z75*(1+$C$58)/($C$54-$C$58)*Z73</f>
        <v>0</v>
      </c>
      <c r="AA76" s="16" t="n">
        <f aca="false">AA75*(1+$C$58)/($C$54-$C$58)*AA73</f>
        <v>0</v>
      </c>
      <c r="AB76" s="16" t="n">
        <f aca="false">AB75*(1+$C$58)/($C$54-$C$58)*AB73</f>
        <v>0</v>
      </c>
      <c r="AC76" s="16" t="n">
        <f aca="false">AC75*(1+$C$58)/($C$54-$C$58)*AC73</f>
        <v>0</v>
      </c>
      <c r="AD76" s="16" t="n">
        <f aca="false">AD75*(1+$C$58)/($C$54-$C$58)*AD73</f>
        <v>0</v>
      </c>
      <c r="AE76" s="16" t="n">
        <f aca="false">AE75*(1+$C$58)/($C$54-$C$58)*AE73</f>
        <v>0</v>
      </c>
      <c r="AF76" s="16" t="n">
        <f aca="false">AF75*(1+$C$58)/($C$54-$C$58)*AF73</f>
        <v>0</v>
      </c>
      <c r="AG76" s="16" t="n">
        <f aca="false">AG75*(1+$C$58)/($C$54-$C$58)*AG73</f>
        <v>0</v>
      </c>
      <c r="AH76" s="16" t="n">
        <f aca="false">AH75*(1+$C$58)/($C$54-$C$58)*AH73</f>
        <v>0</v>
      </c>
      <c r="AI76" s="16" t="n">
        <f aca="false">AI75*(1+$C$58)/($C$54-$C$58)*AI73</f>
        <v>0</v>
      </c>
      <c r="AJ76" s="16" t="n">
        <f aca="false">AJ75*(1+$C$58)/($C$54-$C$58)*AJ73</f>
        <v>0</v>
      </c>
      <c r="AK76" s="16" t="n">
        <f aca="false">AK75*(1+$C$58)/($C$54-$C$58)*AK73</f>
        <v>0</v>
      </c>
      <c r="AL76" s="16" t="n">
        <f aca="false">AL75*(1+$C$58)/($C$54-$C$58)*AL73</f>
        <v>0</v>
      </c>
      <c r="AM76" s="16" t="n">
        <f aca="false">AM75*(1+$C$58)/($C$54-$C$58)*AM73</f>
        <v>0</v>
      </c>
      <c r="AN76" s="16" t="n">
        <f aca="false">AN75*(1+$C$58)/($C$54-$C$58)*AN73</f>
        <v>0</v>
      </c>
      <c r="AO76" s="16" t="n">
        <f aca="false">AO75*(1+$C$58)/($C$54-$C$58)*AO73</f>
        <v>0</v>
      </c>
      <c r="AP76" s="16" t="n">
        <f aca="false">AP75*(1+$C$58)/($C$54-$C$58)*AP73</f>
        <v>0</v>
      </c>
      <c r="AQ76" s="16" t="n">
        <f aca="false">AQ75*(1+$C$58)/($C$54-$C$58)*AQ73</f>
        <v>0</v>
      </c>
      <c r="AR76" s="16" t="n">
        <f aca="false">AR75*(1+$C$58)/($C$54-$C$58)*AR73</f>
        <v>0</v>
      </c>
      <c r="AS76" s="16" t="n">
        <f aca="false">AS75*(1+$C$58)/($C$54-$C$58)*AS73</f>
        <v>0</v>
      </c>
      <c r="AT76" s="16" t="n">
        <f aca="false">AT75*(1+$C$58)/($C$54-$C$58)*AT73</f>
        <v>0</v>
      </c>
      <c r="AU76" s="16" t="n">
        <f aca="false">AU75*(1+$C$58)/($C$54-$C$58)*AU73</f>
        <v>0</v>
      </c>
      <c r="AV76" s="16" t="n">
        <f aca="false">AV75*(1+$C$58)/($C$54-$C$58)*AV73</f>
        <v>0</v>
      </c>
    </row>
    <row r="78" customFormat="false" ht="15" hidden="false" customHeight="false" outlineLevel="0" collapsed="false">
      <c r="B78" s="7" t="s">
        <v>152</v>
      </c>
      <c r="C78" s="16" t="n">
        <f aca="false">SUM($D$74:$AV$74)</f>
        <v>-1508.09763453075</v>
      </c>
    </row>
    <row r="79" customFormat="false" ht="15" hidden="false" customHeight="false" outlineLevel="0" collapsed="false">
      <c r="B79" s="7" t="s">
        <v>151</v>
      </c>
      <c r="C79" s="16" t="n">
        <f aca="false">SUM($D$76:$AV$76)</f>
        <v>5330.08987725231</v>
      </c>
    </row>
    <row r="80" customFormat="false" ht="15" hidden="false" customHeight="false" outlineLevel="0" collapsed="false">
      <c r="B80" s="12" t="s">
        <v>179</v>
      </c>
      <c r="C80" s="13" t="n">
        <f aca="false">C78+C79</f>
        <v>3821.99224272156</v>
      </c>
    </row>
    <row r="81" customFormat="false" ht="15" hidden="false" customHeight="false" outlineLevel="0" collapsed="false">
      <c r="B81" s="7" t="s">
        <v>154</v>
      </c>
      <c r="C81" s="10" t="n">
        <f aca="false">IF(C80=0,0,C79/C80)</f>
        <v>1.39458416939561</v>
      </c>
    </row>
    <row r="82" customFormat="false" ht="15" hidden="false" customHeight="false" outlineLevel="0" collapsed="false">
      <c r="B82" s="7" t="s">
        <v>155</v>
      </c>
      <c r="C82" s="41" t="n">
        <f aca="false">IF(D64=0,0,C80/D64)</f>
        <v>4.5873868808611</v>
      </c>
    </row>
    <row r="83" customFormat="false" ht="15" hidden="false" customHeight="false" outlineLevel="0" collapsed="false">
      <c r="B83" s="7" t="s">
        <v>156</v>
      </c>
      <c r="C83" s="16" t="n">
        <f aca="false">SUM($D$75:$AV$75)</f>
        <v>516.708977645335</v>
      </c>
    </row>
    <row r="84" customFormat="false" ht="15" hidden="false" customHeight="false" outlineLevel="0" collapsed="false">
      <c r="B84" s="7" t="s">
        <v>157</v>
      </c>
      <c r="C84" s="37" t="n">
        <f aca="false">SUMPRODUCT(($D$61:$AV$61=$C$57)*$D$72:$AV$72)</f>
        <v>4.00821917808219</v>
      </c>
    </row>
    <row r="85" customFormat="false" ht="15" hidden="false" customHeight="false" outlineLevel="0" collapsed="false">
      <c r="B85" s="12" t="s">
        <v>158</v>
      </c>
      <c r="C85" s="12" t="str">
        <f aca="false">IF(AND($C$54&gt;$C$58,SUMPRODUCT(($D$61:$AV$61&gt;YEAR($C$56))*($C$55=1)*ABS($D$71:$AV$71))=0),"OK","REVISAR")</f>
        <v>OK</v>
      </c>
    </row>
    <row r="88" customFormat="false" ht="15" hidden="false" customHeight="false" outlineLevel="0" collapsed="false">
      <c r="B88" s="22" t="s">
        <v>44</v>
      </c>
      <c r="C88" s="22"/>
      <c r="D88" s="22"/>
      <c r="E88" s="22"/>
      <c r="F88" s="22"/>
    </row>
    <row r="89" customFormat="false" ht="15" hidden="false" customHeight="true" outlineLevel="0" collapsed="false">
      <c r="B89" s="7" t="s">
        <v>122</v>
      </c>
      <c r="C89" s="31" t="n">
        <v>32137</v>
      </c>
      <c r="D89" s="33" t="s">
        <v>180</v>
      </c>
      <c r="E89" s="33"/>
      <c r="F89" s="33"/>
      <c r="G89" s="33"/>
      <c r="H89" s="33"/>
      <c r="I89" s="33"/>
      <c r="J89" s="33"/>
      <c r="K89" s="33"/>
      <c r="L89" s="33"/>
      <c r="M89" s="33"/>
      <c r="N89" s="33"/>
    </row>
    <row r="90" customFormat="false" ht="15" hidden="false" customHeight="false" outlineLevel="0" collapsed="false">
      <c r="B90" s="7" t="s">
        <v>124</v>
      </c>
      <c r="C90" s="29" t="n">
        <v>-0.01</v>
      </c>
      <c r="D90" s="33"/>
      <c r="E90" s="33"/>
      <c r="F90" s="33"/>
      <c r="G90" s="33"/>
      <c r="H90" s="33"/>
      <c r="I90" s="33"/>
      <c r="J90" s="33"/>
      <c r="K90" s="33"/>
      <c r="L90" s="33"/>
      <c r="M90" s="33"/>
      <c r="N90" s="33"/>
    </row>
    <row r="91" customFormat="false" ht="15" hidden="false" customHeight="false" outlineLevel="0" collapsed="false">
      <c r="B91" s="7" t="s">
        <v>125</v>
      </c>
      <c r="C91" s="30" t="n">
        <v>0.025</v>
      </c>
      <c r="D91" s="33"/>
      <c r="E91" s="33"/>
      <c r="F91" s="33"/>
      <c r="G91" s="33"/>
      <c r="H91" s="33"/>
      <c r="I91" s="33"/>
      <c r="J91" s="33"/>
      <c r="K91" s="33"/>
      <c r="L91" s="33"/>
      <c r="M91" s="33"/>
      <c r="N91" s="33"/>
    </row>
    <row r="92" customFormat="false" ht="15" hidden="false" customHeight="false" outlineLevel="0" collapsed="false">
      <c r="B92" s="7" t="s">
        <v>126</v>
      </c>
      <c r="C92" s="29" t="n">
        <v>0.0664</v>
      </c>
      <c r="D92" s="33"/>
      <c r="E92" s="33"/>
      <c r="F92" s="33"/>
      <c r="G92" s="33"/>
      <c r="H92" s="33"/>
      <c r="I92" s="33"/>
      <c r="J92" s="33"/>
      <c r="K92" s="33"/>
      <c r="L92" s="33"/>
      <c r="M92" s="33"/>
      <c r="N92" s="33"/>
    </row>
    <row r="93" customFormat="false" ht="15" hidden="false" customHeight="false" outlineLevel="0" collapsed="false">
      <c r="B93" s="7" t="s">
        <v>127</v>
      </c>
      <c r="C93" s="29" t="n">
        <v>0.0344</v>
      </c>
      <c r="D93" s="33"/>
      <c r="E93" s="33"/>
      <c r="F93" s="33"/>
      <c r="G93" s="33"/>
      <c r="H93" s="33"/>
      <c r="I93" s="33"/>
      <c r="J93" s="33"/>
      <c r="K93" s="33"/>
      <c r="L93" s="33"/>
      <c r="M93" s="33"/>
      <c r="N93" s="33"/>
    </row>
    <row r="94" customFormat="false" ht="15" hidden="false" customHeight="false" outlineLevel="0" collapsed="false">
      <c r="B94" s="7" t="s">
        <v>128</v>
      </c>
      <c r="C94" s="29" t="n">
        <v>0.0283</v>
      </c>
      <c r="D94" s="33"/>
      <c r="E94" s="33"/>
      <c r="F94" s="33"/>
      <c r="G94" s="33"/>
      <c r="H94" s="33"/>
      <c r="I94" s="33"/>
      <c r="J94" s="33"/>
      <c r="K94" s="33"/>
      <c r="L94" s="33"/>
      <c r="M94" s="33"/>
      <c r="N94" s="33"/>
    </row>
    <row r="95" customFormat="false" ht="15" hidden="false" customHeight="false" outlineLevel="0" collapsed="false">
      <c r="B95" s="7" t="s">
        <v>129</v>
      </c>
      <c r="C95" s="29" t="n">
        <v>0.01</v>
      </c>
      <c r="D95" s="33"/>
      <c r="E95" s="33"/>
      <c r="F95" s="33"/>
      <c r="G95" s="33"/>
      <c r="H95" s="33"/>
      <c r="I95" s="33"/>
      <c r="J95" s="33"/>
      <c r="K95" s="33"/>
      <c r="L95" s="33"/>
      <c r="M95" s="33"/>
      <c r="N95" s="33"/>
    </row>
    <row r="96" customFormat="false" ht="15" hidden="false" customHeight="false" outlineLevel="0" collapsed="false">
      <c r="B96" s="7" t="s">
        <v>130</v>
      </c>
      <c r="C96" s="30" t="n">
        <v>0.08</v>
      </c>
      <c r="D96" s="33"/>
      <c r="E96" s="33"/>
      <c r="F96" s="33"/>
      <c r="G96" s="33"/>
      <c r="H96" s="33"/>
      <c r="I96" s="33"/>
      <c r="J96" s="33"/>
      <c r="K96" s="33"/>
      <c r="L96" s="33"/>
      <c r="M96" s="33"/>
      <c r="N96" s="33"/>
    </row>
    <row r="97" customFormat="false" ht="15" hidden="false" customHeight="false" outlineLevel="0" collapsed="false">
      <c r="B97" s="7" t="s">
        <v>131</v>
      </c>
      <c r="C97" s="34" t="n">
        <v>0</v>
      </c>
      <c r="D97" s="33"/>
      <c r="E97" s="33"/>
      <c r="F97" s="33"/>
      <c r="G97" s="33"/>
      <c r="H97" s="33"/>
      <c r="I97" s="33"/>
      <c r="J97" s="33"/>
      <c r="K97" s="33"/>
      <c r="L97" s="33"/>
      <c r="M97" s="33"/>
      <c r="N97" s="33"/>
    </row>
    <row r="98" customFormat="false" ht="15" hidden="false" customHeight="false" outlineLevel="0" collapsed="false">
      <c r="B98" s="7" t="s">
        <v>132</v>
      </c>
      <c r="C98" s="35" t="n">
        <v>46387</v>
      </c>
      <c r="D98" s="33"/>
      <c r="E98" s="33"/>
      <c r="F98" s="33"/>
      <c r="G98" s="33"/>
      <c r="H98" s="33"/>
      <c r="I98" s="33"/>
      <c r="J98" s="33"/>
      <c r="K98" s="33"/>
      <c r="L98" s="33"/>
      <c r="M98" s="33"/>
      <c r="N98" s="33"/>
    </row>
    <row r="99" customFormat="false" ht="15" hidden="false" customHeight="false" outlineLevel="0" collapsed="false">
      <c r="B99" s="7" t="s">
        <v>133</v>
      </c>
      <c r="C99" s="34" t="n">
        <v>2030</v>
      </c>
      <c r="D99" s="33"/>
      <c r="E99" s="33"/>
      <c r="F99" s="33"/>
      <c r="G99" s="33"/>
      <c r="H99" s="33"/>
      <c r="I99" s="33"/>
      <c r="J99" s="33"/>
      <c r="K99" s="33"/>
      <c r="L99" s="33"/>
      <c r="M99" s="33"/>
      <c r="N99" s="33"/>
    </row>
    <row r="100" customFormat="false" ht="15" hidden="false" customHeight="false" outlineLevel="0" collapsed="false">
      <c r="B100" s="7" t="s">
        <v>134</v>
      </c>
      <c r="C100" s="30" t="n">
        <v>0.015</v>
      </c>
      <c r="D100" s="33"/>
      <c r="E100" s="33"/>
      <c r="F100" s="33"/>
      <c r="G100" s="33"/>
      <c r="H100" s="33"/>
      <c r="I100" s="33"/>
      <c r="J100" s="33"/>
      <c r="K100" s="33"/>
      <c r="L100" s="33"/>
      <c r="M100" s="33"/>
      <c r="N100" s="33"/>
    </row>
    <row r="101" customFormat="false" ht="15" hidden="false" customHeight="false" outlineLevel="0" collapsed="false">
      <c r="B101" s="7" t="s">
        <v>135</v>
      </c>
      <c r="C101" s="29" t="n">
        <v>0.03</v>
      </c>
      <c r="D101" s="33"/>
      <c r="E101" s="33"/>
      <c r="F101" s="33"/>
      <c r="G101" s="33"/>
      <c r="H101" s="33"/>
      <c r="I101" s="33"/>
      <c r="J101" s="33"/>
      <c r="K101" s="33"/>
      <c r="L101" s="33"/>
      <c r="M101" s="33"/>
      <c r="N101" s="33"/>
    </row>
    <row r="103" customFormat="false" ht="15" hidden="false" customHeight="false" outlineLevel="0" collapsed="false">
      <c r="B103" s="6" t="s">
        <v>136</v>
      </c>
      <c r="D103" s="36" t="n">
        <v>2026</v>
      </c>
      <c r="E103" s="36" t="n">
        <v>2027</v>
      </c>
      <c r="F103" s="36" t="n">
        <v>2028</v>
      </c>
      <c r="G103" s="36" t="n">
        <v>2029</v>
      </c>
      <c r="H103" s="36" t="n">
        <v>2030</v>
      </c>
      <c r="I103" s="36" t="n">
        <v>2031</v>
      </c>
      <c r="J103" s="36" t="n">
        <v>2032</v>
      </c>
      <c r="K103" s="36" t="n">
        <v>2033</v>
      </c>
      <c r="L103" s="36" t="n">
        <v>2034</v>
      </c>
      <c r="M103" s="36" t="n">
        <v>2035</v>
      </c>
      <c r="N103" s="36" t="n">
        <v>2036</v>
      </c>
      <c r="O103" s="36" t="n">
        <v>2037</v>
      </c>
      <c r="P103" s="36" t="n">
        <v>2038</v>
      </c>
      <c r="Q103" s="36" t="n">
        <v>2039</v>
      </c>
      <c r="R103" s="36" t="n">
        <v>2040</v>
      </c>
      <c r="S103" s="36" t="n">
        <v>2041</v>
      </c>
      <c r="T103" s="36" t="n">
        <v>2042</v>
      </c>
      <c r="U103" s="36" t="n">
        <v>2043</v>
      </c>
      <c r="V103" s="36" t="n">
        <v>2044</v>
      </c>
      <c r="W103" s="36" t="n">
        <v>2045</v>
      </c>
      <c r="X103" s="36" t="n">
        <v>2046</v>
      </c>
      <c r="Y103" s="36" t="n">
        <v>2047</v>
      </c>
      <c r="Z103" s="36" t="n">
        <v>2048</v>
      </c>
      <c r="AA103" s="36" t="n">
        <v>2049</v>
      </c>
      <c r="AB103" s="36" t="n">
        <v>2050</v>
      </c>
      <c r="AC103" s="36" t="n">
        <v>2051</v>
      </c>
      <c r="AD103" s="36" t="n">
        <v>2052</v>
      </c>
      <c r="AE103" s="36" t="n">
        <v>2053</v>
      </c>
      <c r="AF103" s="36" t="n">
        <v>2054</v>
      </c>
      <c r="AG103" s="36" t="n">
        <v>2055</v>
      </c>
      <c r="AH103" s="36" t="n">
        <v>2056</v>
      </c>
      <c r="AI103" s="36" t="n">
        <v>2057</v>
      </c>
      <c r="AJ103" s="36" t="n">
        <v>2058</v>
      </c>
      <c r="AK103" s="36" t="n">
        <v>2059</v>
      </c>
      <c r="AL103" s="36" t="n">
        <v>2060</v>
      </c>
      <c r="AM103" s="36" t="n">
        <v>2061</v>
      </c>
      <c r="AN103" s="36" t="n">
        <v>2062</v>
      </c>
      <c r="AO103" s="36" t="n">
        <v>2063</v>
      </c>
      <c r="AP103" s="36" t="n">
        <v>2064</v>
      </c>
      <c r="AQ103" s="36" t="n">
        <v>2065</v>
      </c>
      <c r="AR103" s="36" t="n">
        <v>2066</v>
      </c>
      <c r="AS103" s="36" t="n">
        <v>2067</v>
      </c>
      <c r="AT103" s="36" t="n">
        <v>2068</v>
      </c>
      <c r="AU103" s="36" t="n">
        <v>2069</v>
      </c>
      <c r="AV103" s="36" t="n">
        <v>2070</v>
      </c>
    </row>
    <row r="104" customFormat="false" ht="15" hidden="false" customHeight="false" outlineLevel="0" collapsed="false">
      <c r="B104" s="7" t="s">
        <v>137</v>
      </c>
      <c r="D104" s="37" t="n">
        <f aca="false">IF($C$97=1,MAX(0,MIN(DATE(D$103,12,31),$C$98)-MAX(Inputs!$C$5+1,DATE(D$103,1,1))+1)/365,IF(D$103&lt;=$C$99,(DATE(D$103,12,31)-MAX(Inputs!$C$5+1,DATE(D$103,1,1))+1)/365,0))</f>
        <v>0.504109589041096</v>
      </c>
      <c r="E104" s="37" t="n">
        <f aca="false">IF($C$97=1,MAX(0,MIN(DATE(E$103,12,31),$C$98)-MAX(Inputs!$C$5+1,DATE(E$103,1,1))+1)/365,IF(E$103&lt;=$C$99,(DATE(E$103,12,31)-MAX(Inputs!$C$5+1,DATE(E$103,1,1))+1)/365,0))</f>
        <v>1</v>
      </c>
      <c r="F104" s="37" t="n">
        <f aca="false">IF($C$97=1,MAX(0,MIN(DATE(F$103,12,31),$C$98)-MAX(Inputs!$C$5+1,DATE(F$103,1,1))+1)/365,IF(F$103&lt;=$C$99,(DATE(F$103,12,31)-MAX(Inputs!$C$5+1,DATE(F$103,1,1))+1)/365,0))</f>
        <v>1.0027397260274</v>
      </c>
      <c r="G104" s="37" t="n">
        <f aca="false">IF($C$97=1,MAX(0,MIN(DATE(G$103,12,31),$C$98)-MAX(Inputs!$C$5+1,DATE(G$103,1,1))+1)/365,IF(G$103&lt;=$C$99,(DATE(G$103,12,31)-MAX(Inputs!$C$5+1,DATE(G$103,1,1))+1)/365,0))</f>
        <v>1</v>
      </c>
      <c r="H104" s="37" t="n">
        <f aca="false">IF($C$97=1,MAX(0,MIN(DATE(H$103,12,31),$C$98)-MAX(Inputs!$C$5+1,DATE(H$103,1,1))+1)/365,IF(H$103&lt;=$C$99,(DATE(H$103,12,31)-MAX(Inputs!$C$5+1,DATE(H$103,1,1))+1)/365,0))</f>
        <v>1</v>
      </c>
      <c r="I104" s="37" t="n">
        <f aca="false">IF($C$97=1,MAX(0,MIN(DATE(I$103,12,31),$C$98)-MAX(Inputs!$C$5+1,DATE(I$103,1,1))+1)/365,IF(I$103&lt;=$C$99,(DATE(I$103,12,31)-MAX(Inputs!$C$5+1,DATE(I$103,1,1))+1)/365,0))</f>
        <v>0</v>
      </c>
      <c r="J104" s="37" t="n">
        <f aca="false">IF($C$97=1,MAX(0,MIN(DATE(J$103,12,31),$C$98)-MAX(Inputs!$C$5+1,DATE(J$103,1,1))+1)/365,IF(J$103&lt;=$C$99,(DATE(J$103,12,31)-MAX(Inputs!$C$5+1,DATE(J$103,1,1))+1)/365,0))</f>
        <v>0</v>
      </c>
      <c r="K104" s="37" t="n">
        <f aca="false">IF($C$97=1,MAX(0,MIN(DATE(K$103,12,31),$C$98)-MAX(Inputs!$C$5+1,DATE(K$103,1,1))+1)/365,IF(K$103&lt;=$C$99,(DATE(K$103,12,31)-MAX(Inputs!$C$5+1,DATE(K$103,1,1))+1)/365,0))</f>
        <v>0</v>
      </c>
      <c r="L104" s="37" t="n">
        <f aca="false">IF($C$97=1,MAX(0,MIN(DATE(L$103,12,31),$C$98)-MAX(Inputs!$C$5+1,DATE(L$103,1,1))+1)/365,IF(L$103&lt;=$C$99,(DATE(L$103,12,31)-MAX(Inputs!$C$5+1,DATE(L$103,1,1))+1)/365,0))</f>
        <v>0</v>
      </c>
      <c r="M104" s="37" t="n">
        <f aca="false">IF($C$97=1,MAX(0,MIN(DATE(M$103,12,31),$C$98)-MAX(Inputs!$C$5+1,DATE(M$103,1,1))+1)/365,IF(M$103&lt;=$C$99,(DATE(M$103,12,31)-MAX(Inputs!$C$5+1,DATE(M$103,1,1))+1)/365,0))</f>
        <v>0</v>
      </c>
      <c r="N104" s="37" t="n">
        <f aca="false">IF($C$97=1,MAX(0,MIN(DATE(N$103,12,31),$C$98)-MAX(Inputs!$C$5+1,DATE(N$103,1,1))+1)/365,IF(N$103&lt;=$C$99,(DATE(N$103,12,31)-MAX(Inputs!$C$5+1,DATE(N$103,1,1))+1)/365,0))</f>
        <v>0</v>
      </c>
      <c r="O104" s="37" t="n">
        <f aca="false">IF($C$97=1,MAX(0,MIN(DATE(O$103,12,31),$C$98)-MAX(Inputs!$C$5+1,DATE(O$103,1,1))+1)/365,IF(O$103&lt;=$C$99,(DATE(O$103,12,31)-MAX(Inputs!$C$5+1,DATE(O$103,1,1))+1)/365,0))</f>
        <v>0</v>
      </c>
      <c r="P104" s="37" t="n">
        <f aca="false">IF($C$97=1,MAX(0,MIN(DATE(P$103,12,31),$C$98)-MAX(Inputs!$C$5+1,DATE(P$103,1,1))+1)/365,IF(P$103&lt;=$C$99,(DATE(P$103,12,31)-MAX(Inputs!$C$5+1,DATE(P$103,1,1))+1)/365,0))</f>
        <v>0</v>
      </c>
      <c r="Q104" s="37" t="n">
        <f aca="false">IF($C$97=1,MAX(0,MIN(DATE(Q$103,12,31),$C$98)-MAX(Inputs!$C$5+1,DATE(Q$103,1,1))+1)/365,IF(Q$103&lt;=$C$99,(DATE(Q$103,12,31)-MAX(Inputs!$C$5+1,DATE(Q$103,1,1))+1)/365,0))</f>
        <v>0</v>
      </c>
      <c r="R104" s="37" t="n">
        <f aca="false">IF($C$97=1,MAX(0,MIN(DATE(R$103,12,31),$C$98)-MAX(Inputs!$C$5+1,DATE(R$103,1,1))+1)/365,IF(R$103&lt;=$C$99,(DATE(R$103,12,31)-MAX(Inputs!$C$5+1,DATE(R$103,1,1))+1)/365,0))</f>
        <v>0</v>
      </c>
      <c r="S104" s="37" t="n">
        <f aca="false">IF($C$97=1,MAX(0,MIN(DATE(S$103,12,31),$C$98)-MAX(Inputs!$C$5+1,DATE(S$103,1,1))+1)/365,IF(S$103&lt;=$C$99,(DATE(S$103,12,31)-MAX(Inputs!$C$5+1,DATE(S$103,1,1))+1)/365,0))</f>
        <v>0</v>
      </c>
      <c r="T104" s="37" t="n">
        <f aca="false">IF($C$97=1,MAX(0,MIN(DATE(T$103,12,31),$C$98)-MAX(Inputs!$C$5+1,DATE(T$103,1,1))+1)/365,IF(T$103&lt;=$C$99,(DATE(T$103,12,31)-MAX(Inputs!$C$5+1,DATE(T$103,1,1))+1)/365,0))</f>
        <v>0</v>
      </c>
      <c r="U104" s="37" t="n">
        <f aca="false">IF($C$97=1,MAX(0,MIN(DATE(U$103,12,31),$C$98)-MAX(Inputs!$C$5+1,DATE(U$103,1,1))+1)/365,IF(U$103&lt;=$C$99,(DATE(U$103,12,31)-MAX(Inputs!$C$5+1,DATE(U$103,1,1))+1)/365,0))</f>
        <v>0</v>
      </c>
      <c r="V104" s="37" t="n">
        <f aca="false">IF($C$97=1,MAX(0,MIN(DATE(V$103,12,31),$C$98)-MAX(Inputs!$C$5+1,DATE(V$103,1,1))+1)/365,IF(V$103&lt;=$C$99,(DATE(V$103,12,31)-MAX(Inputs!$C$5+1,DATE(V$103,1,1))+1)/365,0))</f>
        <v>0</v>
      </c>
      <c r="W104" s="37" t="n">
        <f aca="false">IF($C$97=1,MAX(0,MIN(DATE(W$103,12,31),$C$98)-MAX(Inputs!$C$5+1,DATE(W$103,1,1))+1)/365,IF(W$103&lt;=$C$99,(DATE(W$103,12,31)-MAX(Inputs!$C$5+1,DATE(W$103,1,1))+1)/365,0))</f>
        <v>0</v>
      </c>
      <c r="X104" s="37" t="n">
        <f aca="false">IF($C$97=1,MAX(0,MIN(DATE(X$103,12,31),$C$98)-MAX(Inputs!$C$5+1,DATE(X$103,1,1))+1)/365,IF(X$103&lt;=$C$99,(DATE(X$103,12,31)-MAX(Inputs!$C$5+1,DATE(X$103,1,1))+1)/365,0))</f>
        <v>0</v>
      </c>
      <c r="Y104" s="37" t="n">
        <f aca="false">IF($C$97=1,MAX(0,MIN(DATE(Y$103,12,31),$C$98)-MAX(Inputs!$C$5+1,DATE(Y$103,1,1))+1)/365,IF(Y$103&lt;=$C$99,(DATE(Y$103,12,31)-MAX(Inputs!$C$5+1,DATE(Y$103,1,1))+1)/365,0))</f>
        <v>0</v>
      </c>
      <c r="Z104" s="37" t="n">
        <f aca="false">IF($C$97=1,MAX(0,MIN(DATE(Z$103,12,31),$C$98)-MAX(Inputs!$C$5+1,DATE(Z$103,1,1))+1)/365,IF(Z$103&lt;=$C$99,(DATE(Z$103,12,31)-MAX(Inputs!$C$5+1,DATE(Z$103,1,1))+1)/365,0))</f>
        <v>0</v>
      </c>
      <c r="AA104" s="37" t="n">
        <f aca="false">IF($C$97=1,MAX(0,MIN(DATE(AA$103,12,31),$C$98)-MAX(Inputs!$C$5+1,DATE(AA$103,1,1))+1)/365,IF(AA$103&lt;=$C$99,(DATE(AA$103,12,31)-MAX(Inputs!$C$5+1,DATE(AA$103,1,1))+1)/365,0))</f>
        <v>0</v>
      </c>
      <c r="AB104" s="37" t="n">
        <f aca="false">IF($C$97=1,MAX(0,MIN(DATE(AB$103,12,31),$C$98)-MAX(Inputs!$C$5+1,DATE(AB$103,1,1))+1)/365,IF(AB$103&lt;=$C$99,(DATE(AB$103,12,31)-MAX(Inputs!$C$5+1,DATE(AB$103,1,1))+1)/365,0))</f>
        <v>0</v>
      </c>
      <c r="AC104" s="37" t="n">
        <f aca="false">IF($C$97=1,MAX(0,MIN(DATE(AC$103,12,31),$C$98)-MAX(Inputs!$C$5+1,DATE(AC$103,1,1))+1)/365,IF(AC$103&lt;=$C$99,(DATE(AC$103,12,31)-MAX(Inputs!$C$5+1,DATE(AC$103,1,1))+1)/365,0))</f>
        <v>0</v>
      </c>
      <c r="AD104" s="37" t="n">
        <f aca="false">IF($C$97=1,MAX(0,MIN(DATE(AD$103,12,31),$C$98)-MAX(Inputs!$C$5+1,DATE(AD$103,1,1))+1)/365,IF(AD$103&lt;=$C$99,(DATE(AD$103,12,31)-MAX(Inputs!$C$5+1,DATE(AD$103,1,1))+1)/365,0))</f>
        <v>0</v>
      </c>
      <c r="AE104" s="37" t="n">
        <f aca="false">IF($C$97=1,MAX(0,MIN(DATE(AE$103,12,31),$C$98)-MAX(Inputs!$C$5+1,DATE(AE$103,1,1))+1)/365,IF(AE$103&lt;=$C$99,(DATE(AE$103,12,31)-MAX(Inputs!$C$5+1,DATE(AE$103,1,1))+1)/365,0))</f>
        <v>0</v>
      </c>
      <c r="AF104" s="37" t="n">
        <f aca="false">IF($C$97=1,MAX(0,MIN(DATE(AF$103,12,31),$C$98)-MAX(Inputs!$C$5+1,DATE(AF$103,1,1))+1)/365,IF(AF$103&lt;=$C$99,(DATE(AF$103,12,31)-MAX(Inputs!$C$5+1,DATE(AF$103,1,1))+1)/365,0))</f>
        <v>0</v>
      </c>
      <c r="AG104" s="37" t="n">
        <f aca="false">IF($C$97=1,MAX(0,MIN(DATE(AG$103,12,31),$C$98)-MAX(Inputs!$C$5+1,DATE(AG$103,1,1))+1)/365,IF(AG$103&lt;=$C$99,(DATE(AG$103,12,31)-MAX(Inputs!$C$5+1,DATE(AG$103,1,1))+1)/365,0))</f>
        <v>0</v>
      </c>
      <c r="AH104" s="37" t="n">
        <f aca="false">IF($C$97=1,MAX(0,MIN(DATE(AH$103,12,31),$C$98)-MAX(Inputs!$C$5+1,DATE(AH$103,1,1))+1)/365,IF(AH$103&lt;=$C$99,(DATE(AH$103,12,31)-MAX(Inputs!$C$5+1,DATE(AH$103,1,1))+1)/365,0))</f>
        <v>0</v>
      </c>
      <c r="AI104" s="37" t="n">
        <f aca="false">IF($C$97=1,MAX(0,MIN(DATE(AI$103,12,31),$C$98)-MAX(Inputs!$C$5+1,DATE(AI$103,1,1))+1)/365,IF(AI$103&lt;=$C$99,(DATE(AI$103,12,31)-MAX(Inputs!$C$5+1,DATE(AI$103,1,1))+1)/365,0))</f>
        <v>0</v>
      </c>
      <c r="AJ104" s="37" t="n">
        <f aca="false">IF($C$97=1,MAX(0,MIN(DATE(AJ$103,12,31),$C$98)-MAX(Inputs!$C$5+1,DATE(AJ$103,1,1))+1)/365,IF(AJ$103&lt;=$C$99,(DATE(AJ$103,12,31)-MAX(Inputs!$C$5+1,DATE(AJ$103,1,1))+1)/365,0))</f>
        <v>0</v>
      </c>
      <c r="AK104" s="37" t="n">
        <f aca="false">IF($C$97=1,MAX(0,MIN(DATE(AK$103,12,31),$C$98)-MAX(Inputs!$C$5+1,DATE(AK$103,1,1))+1)/365,IF(AK$103&lt;=$C$99,(DATE(AK$103,12,31)-MAX(Inputs!$C$5+1,DATE(AK$103,1,1))+1)/365,0))</f>
        <v>0</v>
      </c>
      <c r="AL104" s="37" t="n">
        <f aca="false">IF($C$97=1,MAX(0,MIN(DATE(AL$103,12,31),$C$98)-MAX(Inputs!$C$5+1,DATE(AL$103,1,1))+1)/365,IF(AL$103&lt;=$C$99,(DATE(AL$103,12,31)-MAX(Inputs!$C$5+1,DATE(AL$103,1,1))+1)/365,0))</f>
        <v>0</v>
      </c>
      <c r="AM104" s="37" t="n">
        <f aca="false">IF($C$97=1,MAX(0,MIN(DATE(AM$103,12,31),$C$98)-MAX(Inputs!$C$5+1,DATE(AM$103,1,1))+1)/365,IF(AM$103&lt;=$C$99,(DATE(AM$103,12,31)-MAX(Inputs!$C$5+1,DATE(AM$103,1,1))+1)/365,0))</f>
        <v>0</v>
      </c>
      <c r="AN104" s="37" t="n">
        <f aca="false">IF($C$97=1,MAX(0,MIN(DATE(AN$103,12,31),$C$98)-MAX(Inputs!$C$5+1,DATE(AN$103,1,1))+1)/365,IF(AN$103&lt;=$C$99,(DATE(AN$103,12,31)-MAX(Inputs!$C$5+1,DATE(AN$103,1,1))+1)/365,0))</f>
        <v>0</v>
      </c>
      <c r="AO104" s="37" t="n">
        <f aca="false">IF($C$97=1,MAX(0,MIN(DATE(AO$103,12,31),$C$98)-MAX(Inputs!$C$5+1,DATE(AO$103,1,1))+1)/365,IF(AO$103&lt;=$C$99,(DATE(AO$103,12,31)-MAX(Inputs!$C$5+1,DATE(AO$103,1,1))+1)/365,0))</f>
        <v>0</v>
      </c>
      <c r="AP104" s="37" t="n">
        <f aca="false">IF($C$97=1,MAX(0,MIN(DATE(AP$103,12,31),$C$98)-MAX(Inputs!$C$5+1,DATE(AP$103,1,1))+1)/365,IF(AP$103&lt;=$C$99,(DATE(AP$103,12,31)-MAX(Inputs!$C$5+1,DATE(AP$103,1,1))+1)/365,0))</f>
        <v>0</v>
      </c>
      <c r="AQ104" s="37" t="n">
        <f aca="false">IF($C$97=1,MAX(0,MIN(DATE(AQ$103,12,31),$C$98)-MAX(Inputs!$C$5+1,DATE(AQ$103,1,1))+1)/365,IF(AQ$103&lt;=$C$99,(DATE(AQ$103,12,31)-MAX(Inputs!$C$5+1,DATE(AQ$103,1,1))+1)/365,0))</f>
        <v>0</v>
      </c>
      <c r="AR104" s="37" t="n">
        <f aca="false">IF($C$97=1,MAX(0,MIN(DATE(AR$103,12,31),$C$98)-MAX(Inputs!$C$5+1,DATE(AR$103,1,1))+1)/365,IF(AR$103&lt;=$C$99,(DATE(AR$103,12,31)-MAX(Inputs!$C$5+1,DATE(AR$103,1,1))+1)/365,0))</f>
        <v>0</v>
      </c>
      <c r="AS104" s="37" t="n">
        <f aca="false">IF($C$97=1,MAX(0,MIN(DATE(AS$103,12,31),$C$98)-MAX(Inputs!$C$5+1,DATE(AS$103,1,1))+1)/365,IF(AS$103&lt;=$C$99,(DATE(AS$103,12,31)-MAX(Inputs!$C$5+1,DATE(AS$103,1,1))+1)/365,0))</f>
        <v>0</v>
      </c>
      <c r="AT104" s="37" t="n">
        <f aca="false">IF($C$97=1,MAX(0,MIN(DATE(AT$103,12,31),$C$98)-MAX(Inputs!$C$5+1,DATE(AT$103,1,1))+1)/365,IF(AT$103&lt;=$C$99,(DATE(AT$103,12,31)-MAX(Inputs!$C$5+1,DATE(AT$103,1,1))+1)/365,0))</f>
        <v>0</v>
      </c>
      <c r="AU104" s="37" t="n">
        <f aca="false">IF($C$97=1,MAX(0,MIN(DATE(AU$103,12,31),$C$98)-MAX(Inputs!$C$5+1,DATE(AU$103,1,1))+1)/365,IF(AU$103&lt;=$C$99,(DATE(AU$103,12,31)-MAX(Inputs!$C$5+1,DATE(AU$103,1,1))+1)/365,0))</f>
        <v>0</v>
      </c>
      <c r="AV104" s="37" t="n">
        <f aca="false">IF($C$97=1,MAX(0,MIN(DATE(AV$103,12,31),$C$98)-MAX(Inputs!$C$5+1,DATE(AV$103,1,1))+1)/365,IF(AV$103&lt;=$C$99,(DATE(AV$103,12,31)-MAX(Inputs!$C$5+1,DATE(AV$103,1,1))+1)/365,0))</f>
        <v>0</v>
      </c>
    </row>
    <row r="105" customFormat="false" ht="15" hidden="false" customHeight="false" outlineLevel="0" collapsed="false">
      <c r="B105" s="7" t="s">
        <v>138</v>
      </c>
      <c r="D105" s="16" t="n">
        <f aca="false">$C$89*(1+$C$90)</f>
        <v>31815.63</v>
      </c>
      <c r="E105" s="16" t="n">
        <f aca="false">D105*(1+$C$91)</f>
        <v>32611.02075</v>
      </c>
      <c r="F105" s="16" t="n">
        <f aca="false">E105*(1+$C$91)</f>
        <v>33426.29626875</v>
      </c>
      <c r="G105" s="16" t="n">
        <f aca="false">F105*(1+$C$91)</f>
        <v>34261.9536754687</v>
      </c>
      <c r="H105" s="16" t="n">
        <f aca="false">G105*(1+$C$91)</f>
        <v>35118.5025173555</v>
      </c>
      <c r="I105" s="16" t="n">
        <f aca="false">H105*(1+$C$91)</f>
        <v>35996.4650802893</v>
      </c>
      <c r="J105" s="16" t="n">
        <f aca="false">I105*(1+$C$91)</f>
        <v>36896.3767072966</v>
      </c>
      <c r="K105" s="16" t="n">
        <f aca="false">J105*(1+$C$91)</f>
        <v>37818.786124979</v>
      </c>
      <c r="L105" s="16" t="n">
        <f aca="false">K105*(1+$C$91)</f>
        <v>38764.2557781035</v>
      </c>
      <c r="M105" s="16" t="n">
        <f aca="false">L105*(1+$C$91)</f>
        <v>39733.362172556</v>
      </c>
      <c r="N105" s="16" t="n">
        <f aca="false">M105*(1+$C$91)</f>
        <v>40726.6962268699</v>
      </c>
      <c r="O105" s="16" t="n">
        <f aca="false">N105*(1+$C$91)</f>
        <v>41744.8636325417</v>
      </c>
      <c r="P105" s="16" t="n">
        <f aca="false">O105*(1+$C$91)</f>
        <v>42788.4852233552</v>
      </c>
      <c r="Q105" s="16" t="n">
        <f aca="false">P105*(1+$C$91)</f>
        <v>43858.1973539391</v>
      </c>
      <c r="R105" s="16" t="n">
        <f aca="false">Q105*(1+$C$91)</f>
        <v>44954.6522877876</v>
      </c>
      <c r="S105" s="16" t="n">
        <f aca="false">R105*(1+$C$91)</f>
        <v>46078.5185949823</v>
      </c>
      <c r="T105" s="16" t="n">
        <f aca="false">S105*(1+$C$91)</f>
        <v>47230.4815598568</v>
      </c>
      <c r="U105" s="16" t="n">
        <f aca="false">T105*(1+$C$91)</f>
        <v>48411.2435988532</v>
      </c>
      <c r="V105" s="16" t="n">
        <f aca="false">U105*(1+$C$91)</f>
        <v>49621.5246888246</v>
      </c>
      <c r="W105" s="16" t="n">
        <f aca="false">V105*(1+$C$91)</f>
        <v>50862.0628060452</v>
      </c>
      <c r="X105" s="16" t="n">
        <f aca="false">W105*(1+$C$91)</f>
        <v>52133.6143761963</v>
      </c>
      <c r="Y105" s="16" t="n">
        <f aca="false">X105*(1+$C$91)</f>
        <v>53436.9547356012</v>
      </c>
      <c r="Z105" s="16" t="n">
        <f aca="false">Y105*(1+$C$91)</f>
        <v>54772.8786039912</v>
      </c>
      <c r="AA105" s="16" t="n">
        <f aca="false">Z105*(1+$C$91)</f>
        <v>56142.200569091</v>
      </c>
      <c r="AB105" s="16" t="n">
        <f aca="false">AA105*(1+$C$91)</f>
        <v>57545.7555833183</v>
      </c>
      <c r="AC105" s="16" t="n">
        <f aca="false">AB105*(1+$C$91)</f>
        <v>58984.3994729012</v>
      </c>
      <c r="AD105" s="16" t="n">
        <f aca="false">AC105*(1+$C$91)</f>
        <v>60459.0094597238</v>
      </c>
      <c r="AE105" s="16" t="n">
        <f aca="false">AD105*(1+$C$91)</f>
        <v>61970.4846962168</v>
      </c>
      <c r="AF105" s="16" t="n">
        <f aca="false">AE105*(1+$C$91)</f>
        <v>63519.7468136223</v>
      </c>
      <c r="AG105" s="16" t="n">
        <f aca="false">AF105*(1+$C$91)</f>
        <v>65107.7404839628</v>
      </c>
      <c r="AH105" s="16" t="n">
        <f aca="false">AG105*(1+$C$91)</f>
        <v>66735.4339960619</v>
      </c>
      <c r="AI105" s="16" t="n">
        <f aca="false">AH105*(1+$C$91)</f>
        <v>68403.8198459634</v>
      </c>
      <c r="AJ105" s="16" t="n">
        <f aca="false">AI105*(1+$C$91)</f>
        <v>70113.9153421125</v>
      </c>
      <c r="AK105" s="16" t="n">
        <f aca="false">AJ105*(1+$C$91)</f>
        <v>71866.7632256653</v>
      </c>
      <c r="AL105" s="16" t="n">
        <f aca="false">AK105*(1+$C$91)</f>
        <v>73663.4323063069</v>
      </c>
      <c r="AM105" s="16" t="n">
        <f aca="false">AL105*(1+$C$91)</f>
        <v>75505.0181139646</v>
      </c>
      <c r="AN105" s="16" t="n">
        <f aca="false">AM105*(1+$C$91)</f>
        <v>77392.6435668137</v>
      </c>
      <c r="AO105" s="16" t="n">
        <f aca="false">AN105*(1+$C$91)</f>
        <v>79327.459655984</v>
      </c>
      <c r="AP105" s="16" t="n">
        <f aca="false">AO105*(1+$C$91)</f>
        <v>81310.6461473836</v>
      </c>
      <c r="AQ105" s="16" t="n">
        <f aca="false">AP105*(1+$C$91)</f>
        <v>83343.4123010682</v>
      </c>
      <c r="AR105" s="16" t="n">
        <f aca="false">AQ105*(1+$C$91)</f>
        <v>85426.9976085949</v>
      </c>
      <c r="AS105" s="16" t="n">
        <f aca="false">AR105*(1+$C$91)</f>
        <v>87562.6725488098</v>
      </c>
      <c r="AT105" s="16" t="n">
        <f aca="false">AS105*(1+$C$91)</f>
        <v>89751.73936253</v>
      </c>
      <c r="AU105" s="16" t="n">
        <f aca="false">AT105*(1+$C$91)</f>
        <v>91995.5328465933</v>
      </c>
      <c r="AV105" s="16" t="n">
        <f aca="false">AU105*(1+$C$91)</f>
        <v>94295.4211677581</v>
      </c>
    </row>
    <row r="106" customFormat="false" ht="15" hidden="false" customHeight="false" outlineLevel="0" collapsed="false">
      <c r="B106" s="7" t="s">
        <v>139</v>
      </c>
      <c r="D106" s="16" t="n">
        <f aca="false">D105*$C$92</f>
        <v>2112.557832</v>
      </c>
      <c r="E106" s="16" t="n">
        <f aca="false">E105*$C$92</f>
        <v>2165.3717778</v>
      </c>
      <c r="F106" s="16" t="n">
        <f aca="false">F105*$C$92</f>
        <v>2219.506072245</v>
      </c>
      <c r="G106" s="16" t="n">
        <f aca="false">G105*$C$92</f>
        <v>2274.99372405112</v>
      </c>
      <c r="H106" s="16" t="n">
        <f aca="false">H105*$C$92</f>
        <v>2331.8685671524</v>
      </c>
      <c r="I106" s="16" t="n">
        <f aca="false">I105*$C$92</f>
        <v>2390.16528133121</v>
      </c>
      <c r="J106" s="16" t="n">
        <f aca="false">J105*$C$92</f>
        <v>2449.91941336449</v>
      </c>
      <c r="K106" s="16" t="n">
        <f aca="false">K105*$C$92</f>
        <v>2511.16739869861</v>
      </c>
      <c r="L106" s="16" t="n">
        <f aca="false">L105*$C$92</f>
        <v>2573.94658366607</v>
      </c>
      <c r="M106" s="16" t="n">
        <f aca="false">M105*$C$92</f>
        <v>2638.29524825772</v>
      </c>
      <c r="N106" s="16" t="n">
        <f aca="false">N105*$C$92</f>
        <v>2704.25262946416</v>
      </c>
      <c r="O106" s="16" t="n">
        <f aca="false">O105*$C$92</f>
        <v>2771.85894520077</v>
      </c>
      <c r="P106" s="16" t="n">
        <f aca="false">P105*$C$92</f>
        <v>2841.15541883079</v>
      </c>
      <c r="Q106" s="16" t="n">
        <f aca="false">Q105*$C$92</f>
        <v>2912.18430430156</v>
      </c>
      <c r="R106" s="16" t="n">
        <f aca="false">R105*$C$92</f>
        <v>2984.9889119091</v>
      </c>
      <c r="S106" s="16" t="n">
        <f aca="false">S105*$C$92</f>
        <v>3059.61363470682</v>
      </c>
      <c r="T106" s="16" t="n">
        <f aca="false">T105*$C$92</f>
        <v>3136.10397557449</v>
      </c>
      <c r="U106" s="16" t="n">
        <f aca="false">U105*$C$92</f>
        <v>3214.50657496385</v>
      </c>
      <c r="V106" s="16" t="n">
        <f aca="false">V105*$C$92</f>
        <v>3294.86923933795</v>
      </c>
      <c r="W106" s="16" t="n">
        <f aca="false">W105*$C$92</f>
        <v>3377.2409703214</v>
      </c>
      <c r="X106" s="16" t="n">
        <f aca="false">X105*$C$92</f>
        <v>3461.67199457943</v>
      </c>
      <c r="Y106" s="16" t="n">
        <f aca="false">Y105*$C$92</f>
        <v>3548.21379444392</v>
      </c>
      <c r="Z106" s="16" t="n">
        <f aca="false">Z105*$C$92</f>
        <v>3636.91913930502</v>
      </c>
      <c r="AA106" s="16" t="n">
        <f aca="false">AA105*$C$92</f>
        <v>3727.84211778764</v>
      </c>
      <c r="AB106" s="16" t="n">
        <f aca="false">AB105*$C$92</f>
        <v>3821.03817073233</v>
      </c>
      <c r="AC106" s="16" t="n">
        <f aca="false">AC105*$C$92</f>
        <v>3916.56412500064</v>
      </c>
      <c r="AD106" s="16" t="n">
        <f aca="false">AD105*$C$92</f>
        <v>4014.47822812566</v>
      </c>
      <c r="AE106" s="16" t="n">
        <f aca="false">AE105*$C$92</f>
        <v>4114.8401838288</v>
      </c>
      <c r="AF106" s="16" t="n">
        <f aca="false">AF105*$C$92</f>
        <v>4217.71118842452</v>
      </c>
      <c r="AG106" s="16" t="n">
        <f aca="false">AG105*$C$92</f>
        <v>4323.15396813513</v>
      </c>
      <c r="AH106" s="16" t="n">
        <f aca="false">AH105*$C$92</f>
        <v>4431.23281733851</v>
      </c>
      <c r="AI106" s="16" t="n">
        <f aca="false">AI105*$C$92</f>
        <v>4542.01363777197</v>
      </c>
      <c r="AJ106" s="16" t="n">
        <f aca="false">AJ105*$C$92</f>
        <v>4655.56397871627</v>
      </c>
      <c r="AK106" s="16" t="n">
        <f aca="false">AK105*$C$92</f>
        <v>4771.95307818418</v>
      </c>
      <c r="AL106" s="16" t="n">
        <f aca="false">AL105*$C$92</f>
        <v>4891.25190513878</v>
      </c>
      <c r="AM106" s="16" t="n">
        <f aca="false">AM105*$C$92</f>
        <v>5013.53320276725</v>
      </c>
      <c r="AN106" s="16" t="n">
        <f aca="false">AN105*$C$92</f>
        <v>5138.87153283643</v>
      </c>
      <c r="AO106" s="16" t="n">
        <f aca="false">AO105*$C$92</f>
        <v>5267.34332115734</v>
      </c>
      <c r="AP106" s="16" t="n">
        <f aca="false">AP105*$C$92</f>
        <v>5399.02690418627</v>
      </c>
      <c r="AQ106" s="16" t="n">
        <f aca="false">AQ105*$C$92</f>
        <v>5534.00257679093</v>
      </c>
      <c r="AR106" s="16" t="n">
        <f aca="false">AR105*$C$92</f>
        <v>5672.3526412107</v>
      </c>
      <c r="AS106" s="16" t="n">
        <f aca="false">AS105*$C$92</f>
        <v>5814.16145724097</v>
      </c>
      <c r="AT106" s="16" t="n">
        <f aca="false">AT105*$C$92</f>
        <v>5959.51549367199</v>
      </c>
      <c r="AU106" s="16" t="n">
        <f aca="false">AU105*$C$92</f>
        <v>6108.50338101379</v>
      </c>
      <c r="AV106" s="16" t="n">
        <f aca="false">AV105*$C$92</f>
        <v>6261.21596553914</v>
      </c>
    </row>
    <row r="107" customFormat="false" ht="15" hidden="false" customHeight="false" outlineLevel="0" collapsed="false">
      <c r="B107" s="7" t="s">
        <v>140</v>
      </c>
      <c r="D107" s="16" t="n">
        <f aca="false">-D105*$C$93</f>
        <v>-1094.457672</v>
      </c>
      <c r="E107" s="16" t="n">
        <f aca="false">-E105*$C$93</f>
        <v>-1121.8191138</v>
      </c>
      <c r="F107" s="16" t="n">
        <f aca="false">-F105*$C$93</f>
        <v>-1149.864591645</v>
      </c>
      <c r="G107" s="16" t="n">
        <f aca="false">-G105*$C$93</f>
        <v>-1178.61120643612</v>
      </c>
      <c r="H107" s="16" t="n">
        <f aca="false">-H105*$C$93</f>
        <v>-1208.07648659703</v>
      </c>
      <c r="I107" s="16" t="n">
        <f aca="false">-I105*$C$93</f>
        <v>-1238.27839876195</v>
      </c>
      <c r="J107" s="16" t="n">
        <f aca="false">-J105*$C$93</f>
        <v>-1269.235358731</v>
      </c>
      <c r="K107" s="16" t="n">
        <f aca="false">-K105*$C$93</f>
        <v>-1300.96624269928</v>
      </c>
      <c r="L107" s="16" t="n">
        <f aca="false">-L105*$C$93</f>
        <v>-1333.49039876676</v>
      </c>
      <c r="M107" s="16" t="n">
        <f aca="false">-M105*$C$93</f>
        <v>-1366.82765873593</v>
      </c>
      <c r="N107" s="16" t="n">
        <f aca="false">-N105*$C$93</f>
        <v>-1400.99835020433</v>
      </c>
      <c r="O107" s="16" t="n">
        <f aca="false">-O105*$C$93</f>
        <v>-1436.02330895943</v>
      </c>
      <c r="P107" s="16" t="n">
        <f aca="false">-P105*$C$93</f>
        <v>-1471.92389168342</v>
      </c>
      <c r="Q107" s="16" t="n">
        <f aca="false">-Q105*$C$93</f>
        <v>-1508.72198897551</v>
      </c>
      <c r="R107" s="16" t="n">
        <f aca="false">-R105*$C$93</f>
        <v>-1546.44003869989</v>
      </c>
      <c r="S107" s="16" t="n">
        <f aca="false">-S105*$C$93</f>
        <v>-1585.10103966739</v>
      </c>
      <c r="T107" s="16" t="n">
        <f aca="false">-T105*$C$93</f>
        <v>-1624.72856565907</v>
      </c>
      <c r="U107" s="16" t="n">
        <f aca="false">-U105*$C$93</f>
        <v>-1665.34677980055</v>
      </c>
      <c r="V107" s="16" t="n">
        <f aca="false">-V105*$C$93</f>
        <v>-1706.98044929556</v>
      </c>
      <c r="W107" s="16" t="n">
        <f aca="false">-W105*$C$93</f>
        <v>-1749.65496052795</v>
      </c>
      <c r="X107" s="16" t="n">
        <f aca="false">-X105*$C$93</f>
        <v>-1793.39633454115</v>
      </c>
      <c r="Y107" s="16" t="n">
        <f aca="false">-Y105*$C$93</f>
        <v>-1838.23124290468</v>
      </c>
      <c r="Z107" s="16" t="n">
        <f aca="false">-Z105*$C$93</f>
        <v>-1884.1870239773</v>
      </c>
      <c r="AA107" s="16" t="n">
        <f aca="false">-AA105*$C$93</f>
        <v>-1931.29169957673</v>
      </c>
      <c r="AB107" s="16" t="n">
        <f aca="false">-AB105*$C$93</f>
        <v>-1979.57399206615</v>
      </c>
      <c r="AC107" s="16" t="n">
        <f aca="false">-AC105*$C$93</f>
        <v>-2029.0633418678</v>
      </c>
      <c r="AD107" s="16" t="n">
        <f aca="false">-AD105*$C$93</f>
        <v>-2079.7899254145</v>
      </c>
      <c r="AE107" s="16" t="n">
        <f aca="false">-AE105*$C$93</f>
        <v>-2131.78467354986</v>
      </c>
      <c r="AF107" s="16" t="n">
        <f aca="false">-AF105*$C$93</f>
        <v>-2185.07929038861</v>
      </c>
      <c r="AG107" s="16" t="n">
        <f aca="false">-AG105*$C$93</f>
        <v>-2239.70627264832</v>
      </c>
      <c r="AH107" s="16" t="n">
        <f aca="false">-AH105*$C$93</f>
        <v>-2295.69892946453</v>
      </c>
      <c r="AI107" s="16" t="n">
        <f aca="false">-AI105*$C$93</f>
        <v>-2353.09140270114</v>
      </c>
      <c r="AJ107" s="16" t="n">
        <f aca="false">-AJ105*$C$93</f>
        <v>-2411.91868776867</v>
      </c>
      <c r="AK107" s="16" t="n">
        <f aca="false">-AK105*$C$93</f>
        <v>-2472.21665496289</v>
      </c>
      <c r="AL107" s="16" t="n">
        <f aca="false">-AL105*$C$93</f>
        <v>-2534.02207133696</v>
      </c>
      <c r="AM107" s="16" t="n">
        <f aca="false">-AM105*$C$93</f>
        <v>-2597.37262312038</v>
      </c>
      <c r="AN107" s="16" t="n">
        <f aca="false">-AN105*$C$93</f>
        <v>-2662.30693869839</v>
      </c>
      <c r="AO107" s="16" t="n">
        <f aca="false">-AO105*$C$93</f>
        <v>-2728.86461216585</v>
      </c>
      <c r="AP107" s="16" t="n">
        <f aca="false">-AP105*$C$93</f>
        <v>-2797.08622747</v>
      </c>
      <c r="AQ107" s="16" t="n">
        <f aca="false">-AQ105*$C$93</f>
        <v>-2867.01338315675</v>
      </c>
      <c r="AR107" s="16" t="n">
        <f aca="false">-AR105*$C$93</f>
        <v>-2938.68871773567</v>
      </c>
      <c r="AS107" s="16" t="n">
        <f aca="false">-AS105*$C$93</f>
        <v>-3012.15593567906</v>
      </c>
      <c r="AT107" s="16" t="n">
        <f aca="false">-AT105*$C$93</f>
        <v>-3087.45983407103</v>
      </c>
      <c r="AU107" s="16" t="n">
        <f aca="false">-AU105*$C$93</f>
        <v>-3164.64632992281</v>
      </c>
      <c r="AV107" s="16" t="n">
        <f aca="false">-AV105*$C$93</f>
        <v>-3243.76248817088</v>
      </c>
    </row>
    <row r="108" customFormat="false" ht="15" hidden="false" customHeight="false" outlineLevel="0" collapsed="false">
      <c r="B108" s="7" t="s">
        <v>141</v>
      </c>
      <c r="D108" s="16" t="n">
        <f aca="false">D106+D107</f>
        <v>1018.10016</v>
      </c>
      <c r="E108" s="16" t="n">
        <f aca="false">E106+E107</f>
        <v>1043.552664</v>
      </c>
      <c r="F108" s="16" t="n">
        <f aca="false">F106+F107</f>
        <v>1069.6414806</v>
      </c>
      <c r="G108" s="16" t="n">
        <f aca="false">G106+G107</f>
        <v>1096.382517615</v>
      </c>
      <c r="H108" s="16" t="n">
        <f aca="false">H106+H107</f>
        <v>1123.79208055537</v>
      </c>
      <c r="I108" s="16" t="n">
        <f aca="false">I106+I107</f>
        <v>1151.88688256926</v>
      </c>
      <c r="J108" s="16" t="n">
        <f aca="false">J106+J107</f>
        <v>1180.68405463349</v>
      </c>
      <c r="K108" s="16" t="n">
        <f aca="false">K106+K107</f>
        <v>1210.20115599933</v>
      </c>
      <c r="L108" s="16" t="n">
        <f aca="false">L106+L107</f>
        <v>1240.45618489931</v>
      </c>
      <c r="M108" s="16" t="n">
        <f aca="false">M106+M107</f>
        <v>1271.46758952179</v>
      </c>
      <c r="N108" s="16" t="n">
        <f aca="false">N106+N107</f>
        <v>1303.25427925984</v>
      </c>
      <c r="O108" s="16" t="n">
        <f aca="false">O106+O107</f>
        <v>1335.83563624133</v>
      </c>
      <c r="P108" s="16" t="n">
        <f aca="false">P106+P107</f>
        <v>1369.23152714737</v>
      </c>
      <c r="Q108" s="16" t="n">
        <f aca="false">Q106+Q107</f>
        <v>1403.46231532605</v>
      </c>
      <c r="R108" s="16" t="n">
        <f aca="false">R106+R107</f>
        <v>1438.5488732092</v>
      </c>
      <c r="S108" s="16" t="n">
        <f aca="false">S106+S107</f>
        <v>1474.51259503943</v>
      </c>
      <c r="T108" s="16" t="n">
        <f aca="false">T106+T107</f>
        <v>1511.37540991542</v>
      </c>
      <c r="U108" s="16" t="n">
        <f aca="false">U106+U107</f>
        <v>1549.1597951633</v>
      </c>
      <c r="V108" s="16" t="n">
        <f aca="false">V106+V107</f>
        <v>1587.88879004239</v>
      </c>
      <c r="W108" s="16" t="n">
        <f aca="false">W106+W107</f>
        <v>1627.58600979345</v>
      </c>
      <c r="X108" s="16" t="n">
        <f aca="false">X106+X107</f>
        <v>1668.27566003828</v>
      </c>
      <c r="Y108" s="16" t="n">
        <f aca="false">Y106+Y107</f>
        <v>1709.98255153924</v>
      </c>
      <c r="Z108" s="16" t="n">
        <f aca="false">Z106+Z107</f>
        <v>1752.73211532772</v>
      </c>
      <c r="AA108" s="16" t="n">
        <f aca="false">AA106+AA107</f>
        <v>1796.55041821091</v>
      </c>
      <c r="AB108" s="16" t="n">
        <f aca="false">AB106+AB107</f>
        <v>1841.46417866618</v>
      </c>
      <c r="AC108" s="16" t="n">
        <f aca="false">AC106+AC107</f>
        <v>1887.50078313284</v>
      </c>
      <c r="AD108" s="16" t="n">
        <f aca="false">AD106+AD107</f>
        <v>1934.68830271116</v>
      </c>
      <c r="AE108" s="16" t="n">
        <f aca="false">AE106+AE107</f>
        <v>1983.05551027894</v>
      </c>
      <c r="AF108" s="16" t="n">
        <f aca="false">AF106+AF107</f>
        <v>2032.63189803591</v>
      </c>
      <c r="AG108" s="16" t="n">
        <f aca="false">AG106+AG107</f>
        <v>2083.44769548681</v>
      </c>
      <c r="AH108" s="16" t="n">
        <f aca="false">AH106+AH107</f>
        <v>2135.53388787398</v>
      </c>
      <c r="AI108" s="16" t="n">
        <f aca="false">AI106+AI107</f>
        <v>2188.92223507083</v>
      </c>
      <c r="AJ108" s="16" t="n">
        <f aca="false">AJ106+AJ107</f>
        <v>2243.6452909476</v>
      </c>
      <c r="AK108" s="16" t="n">
        <f aca="false">AK106+AK107</f>
        <v>2299.73642322129</v>
      </c>
      <c r="AL108" s="16" t="n">
        <f aca="false">AL106+AL107</f>
        <v>2357.22983380182</v>
      </c>
      <c r="AM108" s="16" t="n">
        <f aca="false">AM106+AM107</f>
        <v>2416.16057964687</v>
      </c>
      <c r="AN108" s="16" t="n">
        <f aca="false">AN106+AN107</f>
        <v>2476.56459413804</v>
      </c>
      <c r="AO108" s="16" t="n">
        <f aca="false">AO106+AO107</f>
        <v>2538.47870899149</v>
      </c>
      <c r="AP108" s="16" t="n">
        <f aca="false">AP106+AP107</f>
        <v>2601.94067671628</v>
      </c>
      <c r="AQ108" s="16" t="n">
        <f aca="false">AQ106+AQ107</f>
        <v>2666.98919363418</v>
      </c>
      <c r="AR108" s="16" t="n">
        <f aca="false">AR106+AR107</f>
        <v>2733.66392347504</v>
      </c>
      <c r="AS108" s="16" t="n">
        <f aca="false">AS106+AS107</f>
        <v>2802.00552156191</v>
      </c>
      <c r="AT108" s="16" t="n">
        <f aca="false">AT106+AT107</f>
        <v>2872.05565960096</v>
      </c>
      <c r="AU108" s="16" t="n">
        <f aca="false">AU106+AU107</f>
        <v>2943.85705109098</v>
      </c>
      <c r="AV108" s="16" t="n">
        <f aca="false">AV106+AV107</f>
        <v>3017.45347736826</v>
      </c>
    </row>
    <row r="109" customFormat="false" ht="15" hidden="false" customHeight="false" outlineLevel="0" collapsed="false">
      <c r="B109" s="7" t="s">
        <v>142</v>
      </c>
      <c r="D109" s="8" t="n">
        <f aca="false">IF(D$103=2026,Inputs!$C$10,Inputs!$C$11)</f>
        <v>0.348</v>
      </c>
      <c r="E109" s="8" t="n">
        <f aca="false">IF(E$103=2026,Inputs!$C$10,Inputs!$C$11)</f>
        <v>0.258</v>
      </c>
      <c r="F109" s="8" t="n">
        <f aca="false">IF(F$103=2026,Inputs!$C$10,Inputs!$C$11)</f>
        <v>0.258</v>
      </c>
      <c r="G109" s="8" t="n">
        <f aca="false">IF(G$103=2026,Inputs!$C$10,Inputs!$C$11)</f>
        <v>0.258</v>
      </c>
      <c r="H109" s="8" t="n">
        <f aca="false">IF(H$103=2026,Inputs!$C$10,Inputs!$C$11)</f>
        <v>0.258</v>
      </c>
      <c r="I109" s="8" t="n">
        <f aca="false">IF(I$103=2026,Inputs!$C$10,Inputs!$C$11)</f>
        <v>0.258</v>
      </c>
      <c r="J109" s="8" t="n">
        <f aca="false">IF(J$103=2026,Inputs!$C$10,Inputs!$C$11)</f>
        <v>0.258</v>
      </c>
      <c r="K109" s="8" t="n">
        <f aca="false">IF(K$103=2026,Inputs!$C$10,Inputs!$C$11)</f>
        <v>0.258</v>
      </c>
      <c r="L109" s="8" t="n">
        <f aca="false">IF(L$103=2026,Inputs!$C$10,Inputs!$C$11)</f>
        <v>0.258</v>
      </c>
      <c r="M109" s="8" t="n">
        <f aca="false">IF(M$103=2026,Inputs!$C$10,Inputs!$C$11)</f>
        <v>0.258</v>
      </c>
      <c r="N109" s="8" t="n">
        <f aca="false">IF(N$103=2026,Inputs!$C$10,Inputs!$C$11)</f>
        <v>0.258</v>
      </c>
      <c r="O109" s="8" t="n">
        <f aca="false">IF(O$103=2026,Inputs!$C$10,Inputs!$C$11)</f>
        <v>0.258</v>
      </c>
      <c r="P109" s="8" t="n">
        <f aca="false">IF(P$103=2026,Inputs!$C$10,Inputs!$C$11)</f>
        <v>0.258</v>
      </c>
      <c r="Q109" s="8" t="n">
        <f aca="false">IF(Q$103=2026,Inputs!$C$10,Inputs!$C$11)</f>
        <v>0.258</v>
      </c>
      <c r="R109" s="8" t="n">
        <f aca="false">IF(R$103=2026,Inputs!$C$10,Inputs!$C$11)</f>
        <v>0.258</v>
      </c>
      <c r="S109" s="8" t="n">
        <f aca="false">IF(S$103=2026,Inputs!$C$10,Inputs!$C$11)</f>
        <v>0.258</v>
      </c>
      <c r="T109" s="8" t="n">
        <f aca="false">IF(T$103=2026,Inputs!$C$10,Inputs!$C$11)</f>
        <v>0.258</v>
      </c>
      <c r="U109" s="8" t="n">
        <f aca="false">IF(U$103=2026,Inputs!$C$10,Inputs!$C$11)</f>
        <v>0.258</v>
      </c>
      <c r="V109" s="8" t="n">
        <f aca="false">IF(V$103=2026,Inputs!$C$10,Inputs!$C$11)</f>
        <v>0.258</v>
      </c>
      <c r="W109" s="8" t="n">
        <f aca="false">IF(W$103=2026,Inputs!$C$10,Inputs!$C$11)</f>
        <v>0.258</v>
      </c>
      <c r="X109" s="8" t="n">
        <f aca="false">IF(X$103=2026,Inputs!$C$10,Inputs!$C$11)</f>
        <v>0.258</v>
      </c>
      <c r="Y109" s="8" t="n">
        <f aca="false">IF(Y$103=2026,Inputs!$C$10,Inputs!$C$11)</f>
        <v>0.258</v>
      </c>
      <c r="Z109" s="8" t="n">
        <f aca="false">IF(Z$103=2026,Inputs!$C$10,Inputs!$C$11)</f>
        <v>0.258</v>
      </c>
      <c r="AA109" s="8" t="n">
        <f aca="false">IF(AA$103=2026,Inputs!$C$10,Inputs!$C$11)</f>
        <v>0.258</v>
      </c>
      <c r="AB109" s="8" t="n">
        <f aca="false">IF(AB$103=2026,Inputs!$C$10,Inputs!$C$11)</f>
        <v>0.258</v>
      </c>
      <c r="AC109" s="8" t="n">
        <f aca="false">IF(AC$103=2026,Inputs!$C$10,Inputs!$C$11)</f>
        <v>0.258</v>
      </c>
      <c r="AD109" s="8" t="n">
        <f aca="false">IF(AD$103=2026,Inputs!$C$10,Inputs!$C$11)</f>
        <v>0.258</v>
      </c>
      <c r="AE109" s="8" t="n">
        <f aca="false">IF(AE$103=2026,Inputs!$C$10,Inputs!$C$11)</f>
        <v>0.258</v>
      </c>
      <c r="AF109" s="8" t="n">
        <f aca="false">IF(AF$103=2026,Inputs!$C$10,Inputs!$C$11)</f>
        <v>0.258</v>
      </c>
      <c r="AG109" s="8" t="n">
        <f aca="false">IF(AG$103=2026,Inputs!$C$10,Inputs!$C$11)</f>
        <v>0.258</v>
      </c>
      <c r="AH109" s="8" t="n">
        <f aca="false">IF(AH$103=2026,Inputs!$C$10,Inputs!$C$11)</f>
        <v>0.258</v>
      </c>
      <c r="AI109" s="8" t="n">
        <f aca="false">IF(AI$103=2026,Inputs!$C$10,Inputs!$C$11)</f>
        <v>0.258</v>
      </c>
      <c r="AJ109" s="8" t="n">
        <f aca="false">IF(AJ$103=2026,Inputs!$C$10,Inputs!$C$11)</f>
        <v>0.258</v>
      </c>
      <c r="AK109" s="8" t="n">
        <f aca="false">IF(AK$103=2026,Inputs!$C$10,Inputs!$C$11)</f>
        <v>0.258</v>
      </c>
      <c r="AL109" s="8" t="n">
        <f aca="false">IF(AL$103=2026,Inputs!$C$10,Inputs!$C$11)</f>
        <v>0.258</v>
      </c>
      <c r="AM109" s="8" t="n">
        <f aca="false">IF(AM$103=2026,Inputs!$C$10,Inputs!$C$11)</f>
        <v>0.258</v>
      </c>
      <c r="AN109" s="8" t="n">
        <f aca="false">IF(AN$103=2026,Inputs!$C$10,Inputs!$C$11)</f>
        <v>0.258</v>
      </c>
      <c r="AO109" s="8" t="n">
        <f aca="false">IF(AO$103=2026,Inputs!$C$10,Inputs!$C$11)</f>
        <v>0.258</v>
      </c>
      <c r="AP109" s="8" t="n">
        <f aca="false">IF(AP$103=2026,Inputs!$C$10,Inputs!$C$11)</f>
        <v>0.258</v>
      </c>
      <c r="AQ109" s="8" t="n">
        <f aca="false">IF(AQ$103=2026,Inputs!$C$10,Inputs!$C$11)</f>
        <v>0.258</v>
      </c>
      <c r="AR109" s="8" t="n">
        <f aca="false">IF(AR$103=2026,Inputs!$C$10,Inputs!$C$11)</f>
        <v>0.258</v>
      </c>
      <c r="AS109" s="8" t="n">
        <f aca="false">IF(AS$103=2026,Inputs!$C$10,Inputs!$C$11)</f>
        <v>0.258</v>
      </c>
      <c r="AT109" s="8" t="n">
        <f aca="false">IF(AT$103=2026,Inputs!$C$10,Inputs!$C$11)</f>
        <v>0.258</v>
      </c>
      <c r="AU109" s="8" t="n">
        <f aca="false">IF(AU$103=2026,Inputs!$C$10,Inputs!$C$11)</f>
        <v>0.258</v>
      </c>
      <c r="AV109" s="8" t="n">
        <f aca="false">IF(AV$103=2026,Inputs!$C$10,Inputs!$C$11)</f>
        <v>0.258</v>
      </c>
    </row>
    <row r="110" customFormat="false" ht="15" hidden="false" customHeight="false" outlineLevel="0" collapsed="false">
      <c r="B110" s="7" t="s">
        <v>143</v>
      </c>
      <c r="D110" s="16" t="n">
        <f aca="false">-MAX(0,D108)*D109</f>
        <v>-354.29885568</v>
      </c>
      <c r="E110" s="16" t="n">
        <f aca="false">-MAX(0,E108)*E109</f>
        <v>-269.236587312</v>
      </c>
      <c r="F110" s="16" t="n">
        <f aca="false">-MAX(0,F108)*F109</f>
        <v>-275.9675019948</v>
      </c>
      <c r="G110" s="16" t="n">
        <f aca="false">-MAX(0,G108)*G109</f>
        <v>-282.86668954467</v>
      </c>
      <c r="H110" s="16" t="n">
        <f aca="false">-MAX(0,H108)*H109</f>
        <v>-289.938356783287</v>
      </c>
      <c r="I110" s="16" t="n">
        <f aca="false">-MAX(0,I108)*I109</f>
        <v>-297.186815702869</v>
      </c>
      <c r="J110" s="16" t="n">
        <f aca="false">-MAX(0,J108)*J109</f>
        <v>-304.616486095441</v>
      </c>
      <c r="K110" s="16" t="n">
        <f aca="false">-MAX(0,K108)*K109</f>
        <v>-312.231898247827</v>
      </c>
      <c r="L110" s="16" t="n">
        <f aca="false">-MAX(0,L108)*L109</f>
        <v>-320.037695704022</v>
      </c>
      <c r="M110" s="16" t="n">
        <f aca="false">-MAX(0,M108)*M109</f>
        <v>-328.038638096623</v>
      </c>
      <c r="N110" s="16" t="n">
        <f aca="false">-MAX(0,N108)*N109</f>
        <v>-336.239604049038</v>
      </c>
      <c r="O110" s="16" t="n">
        <f aca="false">-MAX(0,O108)*O109</f>
        <v>-344.645594150264</v>
      </c>
      <c r="P110" s="16" t="n">
        <f aca="false">-MAX(0,P108)*P109</f>
        <v>-353.261734004021</v>
      </c>
      <c r="Q110" s="16" t="n">
        <f aca="false">-MAX(0,Q108)*Q109</f>
        <v>-362.093277354121</v>
      </c>
      <c r="R110" s="16" t="n">
        <f aca="false">-MAX(0,R108)*R109</f>
        <v>-371.145609287974</v>
      </c>
      <c r="S110" s="16" t="n">
        <f aca="false">-MAX(0,S108)*S109</f>
        <v>-380.424249520174</v>
      </c>
      <c r="T110" s="16" t="n">
        <f aca="false">-MAX(0,T108)*T109</f>
        <v>-389.934855758178</v>
      </c>
      <c r="U110" s="16" t="n">
        <f aca="false">-MAX(0,U108)*U109</f>
        <v>-399.683227152132</v>
      </c>
      <c r="V110" s="16" t="n">
        <f aca="false">-MAX(0,V108)*V109</f>
        <v>-409.675307830936</v>
      </c>
      <c r="W110" s="16" t="n">
        <f aca="false">-MAX(0,W108)*W109</f>
        <v>-419.917190526709</v>
      </c>
      <c r="X110" s="16" t="n">
        <f aca="false">-MAX(0,X108)*X109</f>
        <v>-430.415120289877</v>
      </c>
      <c r="Y110" s="16" t="n">
        <f aca="false">-MAX(0,Y108)*Y109</f>
        <v>-441.175498297124</v>
      </c>
      <c r="Z110" s="16" t="n">
        <f aca="false">-MAX(0,Z108)*Z109</f>
        <v>-452.204885754552</v>
      </c>
      <c r="AA110" s="16" t="n">
        <f aca="false">-MAX(0,AA108)*AA109</f>
        <v>-463.510007898415</v>
      </c>
      <c r="AB110" s="16" t="n">
        <f aca="false">-MAX(0,AB108)*AB109</f>
        <v>-475.097758095876</v>
      </c>
      <c r="AC110" s="16" t="n">
        <f aca="false">-MAX(0,AC108)*AC109</f>
        <v>-486.975202048273</v>
      </c>
      <c r="AD110" s="16" t="n">
        <f aca="false">-MAX(0,AD108)*AD109</f>
        <v>-499.149582099479</v>
      </c>
      <c r="AE110" s="16" t="n">
        <f aca="false">-MAX(0,AE108)*AE109</f>
        <v>-511.628321651966</v>
      </c>
      <c r="AF110" s="16" t="n">
        <f aca="false">-MAX(0,AF108)*AF109</f>
        <v>-524.419029693265</v>
      </c>
      <c r="AG110" s="16" t="n">
        <f aca="false">-MAX(0,AG108)*AG109</f>
        <v>-537.529505435597</v>
      </c>
      <c r="AH110" s="16" t="n">
        <f aca="false">-MAX(0,AH108)*AH109</f>
        <v>-550.967743071487</v>
      </c>
      <c r="AI110" s="16" t="n">
        <f aca="false">-MAX(0,AI108)*AI109</f>
        <v>-564.741936648274</v>
      </c>
      <c r="AJ110" s="16" t="n">
        <f aca="false">-MAX(0,AJ108)*AJ109</f>
        <v>-578.860485064481</v>
      </c>
      <c r="AK110" s="16" t="n">
        <f aca="false">-MAX(0,AK108)*AK109</f>
        <v>-593.331997191093</v>
      </c>
      <c r="AL110" s="16" t="n">
        <f aca="false">-MAX(0,AL108)*AL109</f>
        <v>-608.16529712087</v>
      </c>
      <c r="AM110" s="16" t="n">
        <f aca="false">-MAX(0,AM108)*AM109</f>
        <v>-623.369429548892</v>
      </c>
      <c r="AN110" s="16" t="n">
        <f aca="false">-MAX(0,AN108)*AN109</f>
        <v>-638.953665287614</v>
      </c>
      <c r="AO110" s="16" t="n">
        <f aca="false">-MAX(0,AO108)*AO109</f>
        <v>-654.927506919804</v>
      </c>
      <c r="AP110" s="16" t="n">
        <f aca="false">-MAX(0,AP108)*AP109</f>
        <v>-671.3006945928</v>
      </c>
      <c r="AQ110" s="16" t="n">
        <f aca="false">-MAX(0,AQ108)*AQ109</f>
        <v>-688.083211957619</v>
      </c>
      <c r="AR110" s="16" t="n">
        <f aca="false">-MAX(0,AR108)*AR109</f>
        <v>-705.28529225656</v>
      </c>
      <c r="AS110" s="16" t="n">
        <f aca="false">-MAX(0,AS108)*AS109</f>
        <v>-722.917424562974</v>
      </c>
      <c r="AT110" s="16" t="n">
        <f aca="false">-MAX(0,AT108)*AT109</f>
        <v>-740.990360177048</v>
      </c>
      <c r="AU110" s="16" t="n">
        <f aca="false">-MAX(0,AU108)*AU109</f>
        <v>-759.515119181474</v>
      </c>
      <c r="AV110" s="16" t="n">
        <f aca="false">-MAX(0,AV108)*AV109</f>
        <v>-778.502997161011</v>
      </c>
    </row>
    <row r="111" customFormat="false" ht="15" hidden="false" customHeight="false" outlineLevel="0" collapsed="false">
      <c r="B111" s="7" t="s">
        <v>144</v>
      </c>
      <c r="D111" s="16" t="n">
        <f aca="false">-D105*$C$94</f>
        <v>-900.382329</v>
      </c>
      <c r="E111" s="16" t="n">
        <f aca="false">-E105*$C$94</f>
        <v>-922.891887225</v>
      </c>
      <c r="F111" s="16" t="n">
        <f aca="false">-F105*$C$94</f>
        <v>-945.964184405625</v>
      </c>
      <c r="G111" s="16" t="n">
        <f aca="false">-G105*$C$94</f>
        <v>-969.613289015765</v>
      </c>
      <c r="H111" s="16" t="n">
        <f aca="false">-H105*$C$94</f>
        <v>-993.853621241159</v>
      </c>
      <c r="I111" s="16" t="n">
        <f aca="false">-I105*$C$94</f>
        <v>-1018.69996177219</v>
      </c>
      <c r="J111" s="16" t="n">
        <f aca="false">-J105*$C$94</f>
        <v>-1044.16746081649</v>
      </c>
      <c r="K111" s="16" t="n">
        <f aca="false">-K105*$C$94</f>
        <v>-1070.27164733691</v>
      </c>
      <c r="L111" s="16" t="n">
        <f aca="false">-L105*$C$94</f>
        <v>-1097.02843852033</v>
      </c>
      <c r="M111" s="16" t="n">
        <f aca="false">-M105*$C$94</f>
        <v>-1124.45414948334</v>
      </c>
      <c r="N111" s="16" t="n">
        <f aca="false">-N105*$C$94</f>
        <v>-1152.56550322042</v>
      </c>
      <c r="O111" s="16" t="n">
        <f aca="false">-O105*$C$94</f>
        <v>-1181.37964080093</v>
      </c>
      <c r="P111" s="16" t="n">
        <f aca="false">-P105*$C$94</f>
        <v>-1210.91413182095</v>
      </c>
      <c r="Q111" s="16" t="n">
        <f aca="false">-Q105*$C$94</f>
        <v>-1241.18698511648</v>
      </c>
      <c r="R111" s="16" t="n">
        <f aca="false">-R105*$C$94</f>
        <v>-1272.21665974439</v>
      </c>
      <c r="S111" s="16" t="n">
        <f aca="false">-S105*$C$94</f>
        <v>-1304.022076238</v>
      </c>
      <c r="T111" s="16" t="n">
        <f aca="false">-T105*$C$94</f>
        <v>-1336.62262814395</v>
      </c>
      <c r="U111" s="16" t="n">
        <f aca="false">-U105*$C$94</f>
        <v>-1370.03819384755</v>
      </c>
      <c r="V111" s="16" t="n">
        <f aca="false">-V105*$C$94</f>
        <v>-1404.28914869374</v>
      </c>
      <c r="W111" s="16" t="n">
        <f aca="false">-W105*$C$94</f>
        <v>-1439.39637741108</v>
      </c>
      <c r="X111" s="16" t="n">
        <f aca="false">-X105*$C$94</f>
        <v>-1475.38128684636</v>
      </c>
      <c r="Y111" s="16" t="n">
        <f aca="false">-Y105*$C$94</f>
        <v>-1512.26581901751</v>
      </c>
      <c r="Z111" s="16" t="n">
        <f aca="false">-Z105*$C$94</f>
        <v>-1550.07246449295</v>
      </c>
      <c r="AA111" s="16" t="n">
        <f aca="false">-AA105*$C$94</f>
        <v>-1588.82427610528</v>
      </c>
      <c r="AB111" s="16" t="n">
        <f aca="false">-AB105*$C$94</f>
        <v>-1628.54488300791</v>
      </c>
      <c r="AC111" s="16" t="n">
        <f aca="false">-AC105*$C$94</f>
        <v>-1669.2585050831</v>
      </c>
      <c r="AD111" s="16" t="n">
        <f aca="false">-AD105*$C$94</f>
        <v>-1710.98996771018</v>
      </c>
      <c r="AE111" s="16" t="n">
        <f aca="false">-AE105*$C$94</f>
        <v>-1753.76471690294</v>
      </c>
      <c r="AF111" s="16" t="n">
        <f aca="false">-AF105*$C$94</f>
        <v>-1797.60883482551</v>
      </c>
      <c r="AG111" s="16" t="n">
        <f aca="false">-AG105*$C$94</f>
        <v>-1842.54905569615</v>
      </c>
      <c r="AH111" s="16" t="n">
        <f aca="false">-AH105*$C$94</f>
        <v>-1888.61278208855</v>
      </c>
      <c r="AI111" s="16" t="n">
        <f aca="false">-AI105*$C$94</f>
        <v>-1935.82810164076</v>
      </c>
      <c r="AJ111" s="16" t="n">
        <f aca="false">-AJ105*$C$94</f>
        <v>-1984.22380418178</v>
      </c>
      <c r="AK111" s="16" t="n">
        <f aca="false">-AK105*$C$94</f>
        <v>-2033.82939928633</v>
      </c>
      <c r="AL111" s="16" t="n">
        <f aca="false">-AL105*$C$94</f>
        <v>-2084.67513426849</v>
      </c>
      <c r="AM111" s="16" t="n">
        <f aca="false">-AM105*$C$94</f>
        <v>-2136.7920126252</v>
      </c>
      <c r="AN111" s="16" t="n">
        <f aca="false">-AN105*$C$94</f>
        <v>-2190.21181294083</v>
      </c>
      <c r="AO111" s="16" t="n">
        <f aca="false">-AO105*$C$94</f>
        <v>-2244.96710826435</v>
      </c>
      <c r="AP111" s="16" t="n">
        <f aca="false">-AP105*$C$94</f>
        <v>-2301.09128597096</v>
      </c>
      <c r="AQ111" s="16" t="n">
        <f aca="false">-AQ105*$C$94</f>
        <v>-2358.61856812023</v>
      </c>
      <c r="AR111" s="16" t="n">
        <f aca="false">-AR105*$C$94</f>
        <v>-2417.58403232324</v>
      </c>
      <c r="AS111" s="16" t="n">
        <f aca="false">-AS105*$C$94</f>
        <v>-2478.02363313132</v>
      </c>
      <c r="AT111" s="16" t="n">
        <f aca="false">-AT105*$C$94</f>
        <v>-2539.9742239596</v>
      </c>
      <c r="AU111" s="16" t="n">
        <f aca="false">-AU105*$C$94</f>
        <v>-2603.47357955859</v>
      </c>
      <c r="AV111" s="16" t="n">
        <f aca="false">-AV105*$C$94</f>
        <v>-2668.56041904755</v>
      </c>
    </row>
    <row r="112" customFormat="false" ht="15" hidden="false" customHeight="false" outlineLevel="0" collapsed="false">
      <c r="B112" s="7" t="s">
        <v>145</v>
      </c>
      <c r="D112" s="16" t="n">
        <f aca="false">-D105*$C$95</f>
        <v>-318.1563</v>
      </c>
      <c r="E112" s="16" t="n">
        <f aca="false">-E105*$C$95</f>
        <v>-326.1102075</v>
      </c>
      <c r="F112" s="16" t="n">
        <f aca="false">-F105*$C$95</f>
        <v>-334.2629626875</v>
      </c>
      <c r="G112" s="16" t="n">
        <f aca="false">-G105*$C$95</f>
        <v>-342.619536754687</v>
      </c>
      <c r="H112" s="16" t="n">
        <f aca="false">-H105*$C$95</f>
        <v>-351.185025173555</v>
      </c>
      <c r="I112" s="16" t="n">
        <f aca="false">-I105*$C$95</f>
        <v>-359.964650802893</v>
      </c>
      <c r="J112" s="16" t="n">
        <f aca="false">-J105*$C$95</f>
        <v>-368.963767072966</v>
      </c>
      <c r="K112" s="16" t="n">
        <f aca="false">-K105*$C$95</f>
        <v>-378.18786124979</v>
      </c>
      <c r="L112" s="16" t="n">
        <f aca="false">-L105*$C$95</f>
        <v>-387.642557781035</v>
      </c>
      <c r="M112" s="16" t="n">
        <f aca="false">-M105*$C$95</f>
        <v>-397.333621725561</v>
      </c>
      <c r="N112" s="16" t="n">
        <f aca="false">-N105*$C$95</f>
        <v>-407.266962268699</v>
      </c>
      <c r="O112" s="16" t="n">
        <f aca="false">-O105*$C$95</f>
        <v>-417.448636325417</v>
      </c>
      <c r="P112" s="16" t="n">
        <f aca="false">-P105*$C$95</f>
        <v>-427.884852233552</v>
      </c>
      <c r="Q112" s="16" t="n">
        <f aca="false">-Q105*$C$95</f>
        <v>-438.581973539391</v>
      </c>
      <c r="R112" s="16" t="n">
        <f aca="false">-R105*$C$95</f>
        <v>-449.546522877876</v>
      </c>
      <c r="S112" s="16" t="n">
        <f aca="false">-S105*$C$95</f>
        <v>-460.785185949823</v>
      </c>
      <c r="T112" s="16" t="n">
        <f aca="false">-T105*$C$95</f>
        <v>-472.304815598568</v>
      </c>
      <c r="U112" s="16" t="n">
        <f aca="false">-U105*$C$95</f>
        <v>-484.112435988532</v>
      </c>
      <c r="V112" s="16" t="n">
        <f aca="false">-V105*$C$95</f>
        <v>-496.215246888246</v>
      </c>
      <c r="W112" s="16" t="n">
        <f aca="false">-W105*$C$95</f>
        <v>-508.620628060452</v>
      </c>
      <c r="X112" s="16" t="n">
        <f aca="false">-X105*$C$95</f>
        <v>-521.336143761963</v>
      </c>
      <c r="Y112" s="16" t="n">
        <f aca="false">-Y105*$C$95</f>
        <v>-534.369547356012</v>
      </c>
      <c r="Z112" s="16" t="n">
        <f aca="false">-Z105*$C$95</f>
        <v>-547.728786039912</v>
      </c>
      <c r="AA112" s="16" t="n">
        <f aca="false">-AA105*$C$95</f>
        <v>-561.42200569091</v>
      </c>
      <c r="AB112" s="16" t="n">
        <f aca="false">-AB105*$C$95</f>
        <v>-575.457555833183</v>
      </c>
      <c r="AC112" s="16" t="n">
        <f aca="false">-AC105*$C$95</f>
        <v>-589.843994729012</v>
      </c>
      <c r="AD112" s="16" t="n">
        <f aca="false">-AD105*$C$95</f>
        <v>-604.590094597238</v>
      </c>
      <c r="AE112" s="16" t="n">
        <f aca="false">-AE105*$C$95</f>
        <v>-619.704846962168</v>
      </c>
      <c r="AF112" s="16" t="n">
        <f aca="false">-AF105*$C$95</f>
        <v>-635.197468136223</v>
      </c>
      <c r="AG112" s="16" t="n">
        <f aca="false">-AG105*$C$95</f>
        <v>-651.077404839628</v>
      </c>
      <c r="AH112" s="16" t="n">
        <f aca="false">-AH105*$C$95</f>
        <v>-667.354339960619</v>
      </c>
      <c r="AI112" s="16" t="n">
        <f aca="false">-AI105*$C$95</f>
        <v>-684.038198459634</v>
      </c>
      <c r="AJ112" s="16" t="n">
        <f aca="false">-AJ105*$C$95</f>
        <v>-701.139153421125</v>
      </c>
      <c r="AK112" s="16" t="n">
        <f aca="false">-AK105*$C$95</f>
        <v>-718.667632256653</v>
      </c>
      <c r="AL112" s="16" t="n">
        <f aca="false">-AL105*$C$95</f>
        <v>-736.634323063069</v>
      </c>
      <c r="AM112" s="16" t="n">
        <f aca="false">-AM105*$C$95</f>
        <v>-755.050181139646</v>
      </c>
      <c r="AN112" s="16" t="n">
        <f aca="false">-AN105*$C$95</f>
        <v>-773.926435668137</v>
      </c>
      <c r="AO112" s="16" t="n">
        <f aca="false">-AO105*$C$95</f>
        <v>-793.274596559841</v>
      </c>
      <c r="AP112" s="16" t="n">
        <f aca="false">-AP105*$C$95</f>
        <v>-813.106461473836</v>
      </c>
      <c r="AQ112" s="16" t="n">
        <f aca="false">-AQ105*$C$95</f>
        <v>-833.434123010682</v>
      </c>
      <c r="AR112" s="16" t="n">
        <f aca="false">-AR105*$C$95</f>
        <v>-854.269976085949</v>
      </c>
      <c r="AS112" s="16" t="n">
        <f aca="false">-AS105*$C$95</f>
        <v>-875.626725488098</v>
      </c>
      <c r="AT112" s="16" t="n">
        <f aca="false">-AT105*$C$95</f>
        <v>-897.5173936253</v>
      </c>
      <c r="AU112" s="16" t="n">
        <f aca="false">-AU105*$C$95</f>
        <v>-919.955328465933</v>
      </c>
      <c r="AV112" s="16" t="n">
        <f aca="false">-AV105*$C$95</f>
        <v>-942.954211677581</v>
      </c>
    </row>
    <row r="113" customFormat="false" ht="15" hidden="false" customHeight="false" outlineLevel="0" collapsed="false">
      <c r="B113" s="12" t="s">
        <v>146</v>
      </c>
      <c r="D113" s="38" t="n">
        <f aca="false">(D106+D110+D111+D112)*D104</f>
        <v>272.078202484603</v>
      </c>
      <c r="E113" s="38" t="n">
        <f aca="false">(E106+E110+E111+E112)*E104</f>
        <v>647.133095763</v>
      </c>
      <c r="F113" s="38" t="n">
        <f aca="false">(F106+F110+F111+F112)*F104</f>
        <v>665.128714727368</v>
      </c>
      <c r="G113" s="38" t="n">
        <f aca="false">(G106+G110+G111+G112)*G104</f>
        <v>679.894208736002</v>
      </c>
      <c r="H113" s="38" t="n">
        <f aca="false">(H106+H110+H111+H112)*H104</f>
        <v>696.891563954402</v>
      </c>
      <c r="I113" s="38" t="n">
        <f aca="false">(I106+I110+I111+I112)*I104</f>
        <v>0</v>
      </c>
      <c r="J113" s="38" t="n">
        <f aca="false">(J106+J110+J111+J112)*J104</f>
        <v>0</v>
      </c>
      <c r="K113" s="38" t="n">
        <f aca="false">(K106+K110+K111+K112)*K104</f>
        <v>0</v>
      </c>
      <c r="L113" s="38" t="n">
        <f aca="false">(L106+L110+L111+L112)*L104</f>
        <v>0</v>
      </c>
      <c r="M113" s="38" t="n">
        <f aca="false">(M106+M110+M111+M112)*M104</f>
        <v>0</v>
      </c>
      <c r="N113" s="38" t="n">
        <f aca="false">(N106+N110+N111+N112)*N104</f>
        <v>0</v>
      </c>
      <c r="O113" s="38" t="n">
        <f aca="false">(O106+O110+O111+O112)*O104</f>
        <v>0</v>
      </c>
      <c r="P113" s="38" t="n">
        <f aca="false">(P106+P110+P111+P112)*P104</f>
        <v>0</v>
      </c>
      <c r="Q113" s="38" t="n">
        <f aca="false">(Q106+Q110+Q111+Q112)*Q104</f>
        <v>0</v>
      </c>
      <c r="R113" s="38" t="n">
        <f aca="false">(R106+R110+R111+R112)*R104</f>
        <v>0</v>
      </c>
      <c r="S113" s="38" t="n">
        <f aca="false">(S106+S110+S111+S112)*S104</f>
        <v>0</v>
      </c>
      <c r="T113" s="38" t="n">
        <f aca="false">(T106+T110+T111+T112)*T104</f>
        <v>0</v>
      </c>
      <c r="U113" s="38" t="n">
        <f aca="false">(U106+U110+U111+U112)*U104</f>
        <v>0</v>
      </c>
      <c r="V113" s="38" t="n">
        <f aca="false">(V106+V110+V111+V112)*V104</f>
        <v>0</v>
      </c>
      <c r="W113" s="38" t="n">
        <f aca="false">(W106+W110+W111+W112)*W104</f>
        <v>0</v>
      </c>
      <c r="X113" s="38" t="n">
        <f aca="false">(X106+X110+X111+X112)*X104</f>
        <v>0</v>
      </c>
      <c r="Y113" s="38" t="n">
        <f aca="false">(Y106+Y110+Y111+Y112)*Y104</f>
        <v>0</v>
      </c>
      <c r="Z113" s="38" t="n">
        <f aca="false">(Z106+Z110+Z111+Z112)*Z104</f>
        <v>0</v>
      </c>
      <c r="AA113" s="38" t="n">
        <f aca="false">(AA106+AA110+AA111+AA112)*AA104</f>
        <v>0</v>
      </c>
      <c r="AB113" s="38" t="n">
        <f aca="false">(AB106+AB110+AB111+AB112)*AB104</f>
        <v>0</v>
      </c>
      <c r="AC113" s="38" t="n">
        <f aca="false">(AC106+AC110+AC111+AC112)*AC104</f>
        <v>0</v>
      </c>
      <c r="AD113" s="38" t="n">
        <f aca="false">(AD106+AD110+AD111+AD112)*AD104</f>
        <v>0</v>
      </c>
      <c r="AE113" s="38" t="n">
        <f aca="false">(AE106+AE110+AE111+AE112)*AE104</f>
        <v>0</v>
      </c>
      <c r="AF113" s="38" t="n">
        <f aca="false">(AF106+AF110+AF111+AF112)*AF104</f>
        <v>0</v>
      </c>
      <c r="AG113" s="38" t="n">
        <f aca="false">(AG106+AG110+AG111+AG112)*AG104</f>
        <v>0</v>
      </c>
      <c r="AH113" s="38" t="n">
        <f aca="false">(AH106+AH110+AH111+AH112)*AH104</f>
        <v>0</v>
      </c>
      <c r="AI113" s="38" t="n">
        <f aca="false">(AI106+AI110+AI111+AI112)*AI104</f>
        <v>0</v>
      </c>
      <c r="AJ113" s="38" t="n">
        <f aca="false">(AJ106+AJ110+AJ111+AJ112)*AJ104</f>
        <v>0</v>
      </c>
      <c r="AK113" s="38" t="n">
        <f aca="false">(AK106+AK110+AK111+AK112)*AK104</f>
        <v>0</v>
      </c>
      <c r="AL113" s="38" t="n">
        <f aca="false">(AL106+AL110+AL111+AL112)*AL104</f>
        <v>0</v>
      </c>
      <c r="AM113" s="38" t="n">
        <f aca="false">(AM106+AM110+AM111+AM112)*AM104</f>
        <v>0</v>
      </c>
      <c r="AN113" s="38" t="n">
        <f aca="false">(AN106+AN110+AN111+AN112)*AN104</f>
        <v>0</v>
      </c>
      <c r="AO113" s="38" t="n">
        <f aca="false">(AO106+AO110+AO111+AO112)*AO104</f>
        <v>0</v>
      </c>
      <c r="AP113" s="38" t="n">
        <f aca="false">(AP106+AP110+AP111+AP112)*AP104</f>
        <v>0</v>
      </c>
      <c r="AQ113" s="38" t="n">
        <f aca="false">(AQ106+AQ110+AQ111+AQ112)*AQ104</f>
        <v>0</v>
      </c>
      <c r="AR113" s="38" t="n">
        <f aca="false">(AR106+AR110+AR111+AR112)*AR104</f>
        <v>0</v>
      </c>
      <c r="AS113" s="38" t="n">
        <f aca="false">(AS106+AS110+AS111+AS112)*AS104</f>
        <v>0</v>
      </c>
      <c r="AT113" s="38" t="n">
        <f aca="false">(AT106+AT110+AT111+AT112)*AT104</f>
        <v>0</v>
      </c>
      <c r="AU113" s="38" t="n">
        <f aca="false">(AU106+AU110+AU111+AU112)*AU104</f>
        <v>0</v>
      </c>
      <c r="AV113" s="38" t="n">
        <f aca="false">(AV106+AV110+AV111+AV112)*AV104</f>
        <v>0</v>
      </c>
    </row>
    <row r="114" customFormat="false" ht="15" hidden="false" customHeight="false" outlineLevel="0" collapsed="false">
      <c r="B114" s="7" t="s">
        <v>147</v>
      </c>
      <c r="D114" s="37" t="n">
        <f aca="false">((MAX(Inputs!$C$5+1,DATE(D$103,1,1))+DATE(D$103,12,31))/2-Inputs!$C$5)/365</f>
        <v>0.253424657534247</v>
      </c>
      <c r="E114" s="37" t="n">
        <f aca="false">((MAX(Inputs!$C$5+1,DATE(E$103,1,1))+DATE(E$103,12,31))/2-Inputs!$C$5)/365</f>
        <v>1.00547945205479</v>
      </c>
      <c r="F114" s="37" t="n">
        <f aca="false">((MAX(Inputs!$C$5+1,DATE(F$103,1,1))+DATE(F$103,12,31))/2-Inputs!$C$5)/365</f>
        <v>2.00684931506849</v>
      </c>
      <c r="G114" s="37" t="n">
        <f aca="false">((MAX(Inputs!$C$5+1,DATE(G$103,1,1))+DATE(G$103,12,31))/2-Inputs!$C$5)/365</f>
        <v>3.00821917808219</v>
      </c>
      <c r="H114" s="37" t="n">
        <f aca="false">((MAX(Inputs!$C$5+1,DATE(H$103,1,1))+DATE(H$103,12,31))/2-Inputs!$C$5)/365</f>
        <v>4.00821917808219</v>
      </c>
      <c r="I114" s="37" t="n">
        <f aca="false">((MAX(Inputs!$C$5+1,DATE(I$103,1,1))+DATE(I$103,12,31))/2-Inputs!$C$5)/365</f>
        <v>5.00821917808219</v>
      </c>
      <c r="J114" s="37" t="n">
        <f aca="false">((MAX(Inputs!$C$5+1,DATE(J$103,1,1))+DATE(J$103,12,31))/2-Inputs!$C$5)/365</f>
        <v>6.00958904109589</v>
      </c>
      <c r="K114" s="37" t="n">
        <f aca="false">((MAX(Inputs!$C$5+1,DATE(K$103,1,1))+DATE(K$103,12,31))/2-Inputs!$C$5)/365</f>
        <v>7.01095890410959</v>
      </c>
      <c r="L114" s="37" t="n">
        <f aca="false">((MAX(Inputs!$C$5+1,DATE(L$103,1,1))+DATE(L$103,12,31))/2-Inputs!$C$5)/365</f>
        <v>8.01095890410959</v>
      </c>
      <c r="M114" s="37" t="n">
        <f aca="false">((MAX(Inputs!$C$5+1,DATE(M$103,1,1))+DATE(M$103,12,31))/2-Inputs!$C$5)/365</f>
        <v>9.01095890410959</v>
      </c>
      <c r="N114" s="37" t="n">
        <f aca="false">((MAX(Inputs!$C$5+1,DATE(N$103,1,1))+DATE(N$103,12,31))/2-Inputs!$C$5)/365</f>
        <v>10.0123287671233</v>
      </c>
      <c r="O114" s="37" t="n">
        <f aca="false">((MAX(Inputs!$C$5+1,DATE(O$103,1,1))+DATE(O$103,12,31))/2-Inputs!$C$5)/365</f>
        <v>11.013698630137</v>
      </c>
      <c r="P114" s="37" t="n">
        <f aca="false">((MAX(Inputs!$C$5+1,DATE(P$103,1,1))+DATE(P$103,12,31))/2-Inputs!$C$5)/365</f>
        <v>12.013698630137</v>
      </c>
      <c r="Q114" s="37" t="n">
        <f aca="false">((MAX(Inputs!$C$5+1,DATE(Q$103,1,1))+DATE(Q$103,12,31))/2-Inputs!$C$5)/365</f>
        <v>13.013698630137</v>
      </c>
      <c r="R114" s="37" t="n">
        <f aca="false">((MAX(Inputs!$C$5+1,DATE(R$103,1,1))+DATE(R$103,12,31))/2-Inputs!$C$5)/365</f>
        <v>14.0150684931507</v>
      </c>
      <c r="S114" s="37" t="n">
        <f aca="false">((MAX(Inputs!$C$5+1,DATE(S$103,1,1))+DATE(S$103,12,31))/2-Inputs!$C$5)/365</f>
        <v>15.0164383561644</v>
      </c>
      <c r="T114" s="37" t="n">
        <f aca="false">((MAX(Inputs!$C$5+1,DATE(T$103,1,1))+DATE(T$103,12,31))/2-Inputs!$C$5)/365</f>
        <v>16.0164383561644</v>
      </c>
      <c r="U114" s="37" t="n">
        <f aca="false">((MAX(Inputs!$C$5+1,DATE(U$103,1,1))+DATE(U$103,12,31))/2-Inputs!$C$5)/365</f>
        <v>17.0164383561644</v>
      </c>
      <c r="V114" s="37" t="n">
        <f aca="false">((MAX(Inputs!$C$5+1,DATE(V$103,1,1))+DATE(V$103,12,31))/2-Inputs!$C$5)/365</f>
        <v>18.0178082191781</v>
      </c>
      <c r="W114" s="37" t="n">
        <f aca="false">((MAX(Inputs!$C$5+1,DATE(W$103,1,1))+DATE(W$103,12,31))/2-Inputs!$C$5)/365</f>
        <v>19.0191780821918</v>
      </c>
      <c r="X114" s="37" t="n">
        <f aca="false">((MAX(Inputs!$C$5+1,DATE(X$103,1,1))+DATE(X$103,12,31))/2-Inputs!$C$5)/365</f>
        <v>20.0191780821918</v>
      </c>
      <c r="Y114" s="37" t="n">
        <f aca="false">((MAX(Inputs!$C$5+1,DATE(Y$103,1,1))+DATE(Y$103,12,31))/2-Inputs!$C$5)/365</f>
        <v>21.0191780821918</v>
      </c>
      <c r="Z114" s="37" t="n">
        <f aca="false">((MAX(Inputs!$C$5+1,DATE(Z$103,1,1))+DATE(Z$103,12,31))/2-Inputs!$C$5)/365</f>
        <v>22.0205479452055</v>
      </c>
      <c r="AA114" s="37" t="n">
        <f aca="false">((MAX(Inputs!$C$5+1,DATE(AA$103,1,1))+DATE(AA$103,12,31))/2-Inputs!$C$5)/365</f>
        <v>23.0219178082192</v>
      </c>
      <c r="AB114" s="37" t="n">
        <f aca="false">((MAX(Inputs!$C$5+1,DATE(AB$103,1,1))+DATE(AB$103,12,31))/2-Inputs!$C$5)/365</f>
        <v>24.0219178082192</v>
      </c>
      <c r="AC114" s="37" t="n">
        <f aca="false">((MAX(Inputs!$C$5+1,DATE(AC$103,1,1))+DATE(AC$103,12,31))/2-Inputs!$C$5)/365</f>
        <v>25.0219178082192</v>
      </c>
      <c r="AD114" s="37" t="n">
        <f aca="false">((MAX(Inputs!$C$5+1,DATE(AD$103,1,1))+DATE(AD$103,12,31))/2-Inputs!$C$5)/365</f>
        <v>26.0232876712329</v>
      </c>
      <c r="AE114" s="37" t="n">
        <f aca="false">((MAX(Inputs!$C$5+1,DATE(AE$103,1,1))+DATE(AE$103,12,31))/2-Inputs!$C$5)/365</f>
        <v>27.0246575342466</v>
      </c>
      <c r="AF114" s="37" t="n">
        <f aca="false">((MAX(Inputs!$C$5+1,DATE(AF$103,1,1))+DATE(AF$103,12,31))/2-Inputs!$C$5)/365</f>
        <v>28.0246575342466</v>
      </c>
      <c r="AG114" s="37" t="n">
        <f aca="false">((MAX(Inputs!$C$5+1,DATE(AG$103,1,1))+DATE(AG$103,12,31))/2-Inputs!$C$5)/365</f>
        <v>29.0246575342466</v>
      </c>
      <c r="AH114" s="37" t="n">
        <f aca="false">((MAX(Inputs!$C$5+1,DATE(AH$103,1,1))+DATE(AH$103,12,31))/2-Inputs!$C$5)/365</f>
        <v>30.0260273972603</v>
      </c>
      <c r="AI114" s="37" t="n">
        <f aca="false">((MAX(Inputs!$C$5+1,DATE(AI$103,1,1))+DATE(AI$103,12,31))/2-Inputs!$C$5)/365</f>
        <v>31.027397260274</v>
      </c>
      <c r="AJ114" s="37" t="n">
        <f aca="false">((MAX(Inputs!$C$5+1,DATE(AJ$103,1,1))+DATE(AJ$103,12,31))/2-Inputs!$C$5)/365</f>
        <v>32.027397260274</v>
      </c>
      <c r="AK114" s="37" t="n">
        <f aca="false">((MAX(Inputs!$C$5+1,DATE(AK$103,1,1))+DATE(AK$103,12,31))/2-Inputs!$C$5)/365</f>
        <v>33.027397260274</v>
      </c>
      <c r="AL114" s="37" t="n">
        <f aca="false">((MAX(Inputs!$C$5+1,DATE(AL$103,1,1))+DATE(AL$103,12,31))/2-Inputs!$C$5)/365</f>
        <v>34.0287671232877</v>
      </c>
      <c r="AM114" s="37" t="n">
        <f aca="false">((MAX(Inputs!$C$5+1,DATE(AM$103,1,1))+DATE(AM$103,12,31))/2-Inputs!$C$5)/365</f>
        <v>35.0301369863014</v>
      </c>
      <c r="AN114" s="37" t="n">
        <f aca="false">((MAX(Inputs!$C$5+1,DATE(AN$103,1,1))+DATE(AN$103,12,31))/2-Inputs!$C$5)/365</f>
        <v>36.0301369863014</v>
      </c>
      <c r="AO114" s="37" t="n">
        <f aca="false">((MAX(Inputs!$C$5+1,DATE(AO$103,1,1))+DATE(AO$103,12,31))/2-Inputs!$C$5)/365</f>
        <v>37.0301369863014</v>
      </c>
      <c r="AP114" s="37" t="n">
        <f aca="false">((MAX(Inputs!$C$5+1,DATE(AP$103,1,1))+DATE(AP$103,12,31))/2-Inputs!$C$5)/365</f>
        <v>38.0315068493151</v>
      </c>
      <c r="AQ114" s="37" t="n">
        <f aca="false">((MAX(Inputs!$C$5+1,DATE(AQ$103,1,1))+DATE(AQ$103,12,31))/2-Inputs!$C$5)/365</f>
        <v>39.0328767123288</v>
      </c>
      <c r="AR114" s="37" t="n">
        <f aca="false">((MAX(Inputs!$C$5+1,DATE(AR$103,1,1))+DATE(AR$103,12,31))/2-Inputs!$C$5)/365</f>
        <v>40.0328767123288</v>
      </c>
      <c r="AS114" s="37" t="n">
        <f aca="false">((MAX(Inputs!$C$5+1,DATE(AS$103,1,1))+DATE(AS$103,12,31))/2-Inputs!$C$5)/365</f>
        <v>41.0328767123288</v>
      </c>
      <c r="AT114" s="37" t="n">
        <f aca="false">((MAX(Inputs!$C$5+1,DATE(AT$103,1,1))+DATE(AT$103,12,31))/2-Inputs!$C$5)/365</f>
        <v>42.0342465753425</v>
      </c>
      <c r="AU114" s="37" t="n">
        <f aca="false">((MAX(Inputs!$C$5+1,DATE(AU$103,1,1))+DATE(AU$103,12,31))/2-Inputs!$C$5)/365</f>
        <v>43.0356164383562</v>
      </c>
      <c r="AV114" s="37" t="n">
        <f aca="false">((MAX(Inputs!$C$5+1,DATE(AV$103,1,1))+DATE(AV$103,12,31))/2-Inputs!$C$5)/365</f>
        <v>44.0356164383562</v>
      </c>
    </row>
    <row r="115" customFormat="false" ht="15" hidden="false" customHeight="false" outlineLevel="0" collapsed="false">
      <c r="B115" s="7" t="s">
        <v>148</v>
      </c>
      <c r="D115" s="39" t="n">
        <f aca="false">1/(1+$C$96)^D114</f>
        <v>0.980685143576944</v>
      </c>
      <c r="E115" s="39" t="n">
        <f aca="false">1/(1+$C$96)^E114</f>
        <v>0.925535541268318</v>
      </c>
      <c r="F115" s="39" t="n">
        <f aca="false">1/(1+$C$96)^F114</f>
        <v>0.856887010022368</v>
      </c>
      <c r="G115" s="39" t="n">
        <f aca="false">1/(1+$C$96)^G114</f>
        <v>0.793330256057891</v>
      </c>
      <c r="H115" s="39" t="n">
        <f aca="false">1/(1+$C$96)^H114</f>
        <v>0.734565051905455</v>
      </c>
      <c r="I115" s="39" t="n">
        <f aca="false">1/(1+$C$96)^I114</f>
        <v>0.680152825838384</v>
      </c>
      <c r="J115" s="39" t="n">
        <f aca="false">1/(1+$C$96)^J114</f>
        <v>0.629704744230839</v>
      </c>
      <c r="K115" s="39" t="n">
        <f aca="false">1/(1+$C$96)^K114</f>
        <v>0.582998481875084</v>
      </c>
      <c r="L115" s="39" t="n">
        <f aca="false">1/(1+$C$96)^L114</f>
        <v>0.539813409143596</v>
      </c>
      <c r="M115" s="39" t="n">
        <f aca="false">1/(1+$C$96)^M114</f>
        <v>0.499827230688515</v>
      </c>
      <c r="N115" s="39" t="n">
        <f aca="false">1/(1+$C$96)^N114</f>
        <v>0.462754202443185</v>
      </c>
      <c r="O115" s="39" t="n">
        <f aca="false">1/(1+$C$96)^O114</f>
        <v>0.428430943195806</v>
      </c>
      <c r="P115" s="39" t="n">
        <f aca="false">1/(1+$C$96)^P114</f>
        <v>0.396695317773895</v>
      </c>
      <c r="Q115" s="39" t="n">
        <f aca="false">1/(1+$C$96)^Q114</f>
        <v>0.367310479420273</v>
      </c>
      <c r="R115" s="39" t="n">
        <f aca="false">1/(1+$C$96)^R114</f>
        <v>0.34006644199639</v>
      </c>
      <c r="S115" s="39" t="n">
        <f aca="false">1/(1+$C$96)^S114</f>
        <v>0.31484314075277</v>
      </c>
      <c r="T115" s="39" t="n">
        <f aca="false">1/(1+$C$96)^T114</f>
        <v>0.291521426622935</v>
      </c>
      <c r="U115" s="39" t="n">
        <f aca="false">1/(1+$C$96)^U114</f>
        <v>0.269927246873088</v>
      </c>
      <c r="V115" s="39" t="n">
        <f aca="false">1/(1+$C$96)^V114</f>
        <v>0.249906287963495</v>
      </c>
      <c r="W115" s="39" t="n">
        <f aca="false">1/(1+$C$96)^W114</f>
        <v>0.231370317325013</v>
      </c>
      <c r="X115" s="39" t="n">
        <f aca="false">1/(1+$C$96)^X114</f>
        <v>0.214231775300938</v>
      </c>
      <c r="Y115" s="39" t="n">
        <f aca="false">1/(1+$C$96)^Y114</f>
        <v>0.198362754908276</v>
      </c>
      <c r="Z115" s="39" t="n">
        <f aca="false">1/(1+$C$96)^Z114</f>
        <v>0.183649855002031</v>
      </c>
      <c r="AA115" s="39" t="n">
        <f aca="false">1/(1+$C$96)^AA114</f>
        <v>0.170028235682966</v>
      </c>
      <c r="AB115" s="39" t="n">
        <f aca="false">1/(1+$C$96)^AB114</f>
        <v>0.157433551558302</v>
      </c>
      <c r="AC115" s="39" t="n">
        <f aca="false">1/(1+$C$96)^AC114</f>
        <v>0.145771806998428</v>
      </c>
      <c r="AD115" s="39" t="n">
        <f aca="false">1/(1+$C$96)^AD114</f>
        <v>0.134959666349786</v>
      </c>
      <c r="AE115" s="39" t="n">
        <f aca="false">1/(1+$C$96)^AE114</f>
        <v>0.124949480398785</v>
      </c>
      <c r="AF115" s="39" t="n">
        <f aca="false">1/(1+$C$96)^AF114</f>
        <v>0.115693963332208</v>
      </c>
      <c r="AG115" s="39" t="n">
        <f aca="false">1/(1+$C$96)^AG114</f>
        <v>0.107124040122415</v>
      </c>
      <c r="AH115" s="39" t="n">
        <f aca="false">1/(1+$C$96)^AH114</f>
        <v>0.0991784694904558</v>
      </c>
      <c r="AI115" s="39" t="n">
        <f aca="false">1/(1+$C$96)^AI114</f>
        <v>0.0918222352259012</v>
      </c>
      <c r="AJ115" s="39" t="n">
        <f aca="false">1/(1+$C$96)^AJ114</f>
        <v>0.0850205881721308</v>
      </c>
      <c r="AK115" s="39" t="n">
        <f aca="false">1/(1+$C$96)^AK114</f>
        <v>0.078722766826047</v>
      </c>
      <c r="AL115" s="39" t="n">
        <f aca="false">1/(1+$C$96)^AL114</f>
        <v>0.0728837665097331</v>
      </c>
      <c r="AM115" s="39" t="n">
        <f aca="false">1/(1+$C$96)^AM114</f>
        <v>0.0674778546895241</v>
      </c>
      <c r="AN115" s="39" t="n">
        <f aca="false">1/(1+$C$96)^AN114</f>
        <v>0.0624794950828926</v>
      </c>
      <c r="AO115" s="39" t="n">
        <f aca="false">1/(1+$C$96)^AO114</f>
        <v>0.0578513843360117</v>
      </c>
      <c r="AP115" s="39" t="n">
        <f aca="false">1/(1+$C$96)^AP114</f>
        <v>0.0535604496413052</v>
      </c>
      <c r="AQ115" s="39" t="n">
        <f aca="false">1/(1+$C$96)^AQ114</f>
        <v>0.049587780806017</v>
      </c>
      <c r="AR115" s="39" t="n">
        <f aca="false">1/(1+$C$96)^AR114</f>
        <v>0.0459146118574232</v>
      </c>
      <c r="AS115" s="39" t="n">
        <f aca="false">1/(1+$C$96)^AS114</f>
        <v>0.042513529497614</v>
      </c>
      <c r="AT115" s="39" t="n">
        <f aca="false">1/(1+$C$96)^AT114</f>
        <v>0.0393602293508761</v>
      </c>
      <c r="AU115" s="39" t="n">
        <f aca="false">1/(1+$C$96)^AU114</f>
        <v>0.036440814791454</v>
      </c>
      <c r="AV115" s="39" t="n">
        <f aca="false">1/(1+$C$96)^AV114</f>
        <v>0.0337414951772722</v>
      </c>
    </row>
    <row r="116" customFormat="false" ht="15" hidden="false" customHeight="false" outlineLevel="0" collapsed="false">
      <c r="B116" s="12" t="s">
        <v>149</v>
      </c>
      <c r="D116" s="40" t="n">
        <f aca="false">D113*D115</f>
        <v>266.823051067769</v>
      </c>
      <c r="E116" s="40" t="n">
        <f aca="false">E113*E115</f>
        <v>598.94468005965</v>
      </c>
      <c r="F116" s="40" t="n">
        <f aca="false">F113*F115</f>
        <v>569.940155642755</v>
      </c>
      <c r="G116" s="40" t="n">
        <f aca="false">G113*G115</f>
        <v>539.38064670881</v>
      </c>
      <c r="H116" s="40" t="n">
        <f aca="false">H113*H115</f>
        <v>511.912187848639</v>
      </c>
      <c r="I116" s="40" t="n">
        <f aca="false">I113*I115</f>
        <v>0</v>
      </c>
      <c r="J116" s="40" t="n">
        <f aca="false">J113*J115</f>
        <v>0</v>
      </c>
      <c r="K116" s="40" t="n">
        <f aca="false">K113*K115</f>
        <v>0</v>
      </c>
      <c r="L116" s="40" t="n">
        <f aca="false">L113*L115</f>
        <v>0</v>
      </c>
      <c r="M116" s="40" t="n">
        <f aca="false">M113*M115</f>
        <v>0</v>
      </c>
      <c r="N116" s="40" t="n">
        <f aca="false">N113*N115</f>
        <v>0</v>
      </c>
      <c r="O116" s="40" t="n">
        <f aca="false">O113*O115</f>
        <v>0</v>
      </c>
      <c r="P116" s="40" t="n">
        <f aca="false">P113*P115</f>
        <v>0</v>
      </c>
      <c r="Q116" s="40" t="n">
        <f aca="false">Q113*Q115</f>
        <v>0</v>
      </c>
      <c r="R116" s="40" t="n">
        <f aca="false">R113*R115</f>
        <v>0</v>
      </c>
      <c r="S116" s="40" t="n">
        <f aca="false">S113*S115</f>
        <v>0</v>
      </c>
      <c r="T116" s="40" t="n">
        <f aca="false">T113*T115</f>
        <v>0</v>
      </c>
      <c r="U116" s="40" t="n">
        <f aca="false">U113*U115</f>
        <v>0</v>
      </c>
      <c r="V116" s="40" t="n">
        <f aca="false">V113*V115</f>
        <v>0</v>
      </c>
      <c r="W116" s="40" t="n">
        <f aca="false">W113*W115</f>
        <v>0</v>
      </c>
      <c r="X116" s="40" t="n">
        <f aca="false">X113*X115</f>
        <v>0</v>
      </c>
      <c r="Y116" s="40" t="n">
        <f aca="false">Y113*Y115</f>
        <v>0</v>
      </c>
      <c r="Z116" s="40" t="n">
        <f aca="false">Z113*Z115</f>
        <v>0</v>
      </c>
      <c r="AA116" s="40" t="n">
        <f aca="false">AA113*AA115</f>
        <v>0</v>
      </c>
      <c r="AB116" s="40" t="n">
        <f aca="false">AB113*AB115</f>
        <v>0</v>
      </c>
      <c r="AC116" s="40" t="n">
        <f aca="false">AC113*AC115</f>
        <v>0</v>
      </c>
      <c r="AD116" s="40" t="n">
        <f aca="false">AD113*AD115</f>
        <v>0</v>
      </c>
      <c r="AE116" s="40" t="n">
        <f aca="false">AE113*AE115</f>
        <v>0</v>
      </c>
      <c r="AF116" s="40" t="n">
        <f aca="false">AF113*AF115</f>
        <v>0</v>
      </c>
      <c r="AG116" s="40" t="n">
        <f aca="false">AG113*AG115</f>
        <v>0</v>
      </c>
      <c r="AH116" s="40" t="n">
        <f aca="false">AH113*AH115</f>
        <v>0</v>
      </c>
      <c r="AI116" s="40" t="n">
        <f aca="false">AI113*AI115</f>
        <v>0</v>
      </c>
      <c r="AJ116" s="40" t="n">
        <f aca="false">AJ113*AJ115</f>
        <v>0</v>
      </c>
      <c r="AK116" s="40" t="n">
        <f aca="false">AK113*AK115</f>
        <v>0</v>
      </c>
      <c r="AL116" s="40" t="n">
        <f aca="false">AL113*AL115</f>
        <v>0</v>
      </c>
      <c r="AM116" s="40" t="n">
        <f aca="false">AM113*AM115</f>
        <v>0</v>
      </c>
      <c r="AN116" s="40" t="n">
        <f aca="false">AN113*AN115</f>
        <v>0</v>
      </c>
      <c r="AO116" s="40" t="n">
        <f aca="false">AO113*AO115</f>
        <v>0</v>
      </c>
      <c r="AP116" s="40" t="n">
        <f aca="false">AP113*AP115</f>
        <v>0</v>
      </c>
      <c r="AQ116" s="40" t="n">
        <f aca="false">AQ113*AQ115</f>
        <v>0</v>
      </c>
      <c r="AR116" s="40" t="n">
        <f aca="false">AR113*AR115</f>
        <v>0</v>
      </c>
      <c r="AS116" s="40" t="n">
        <f aca="false">AS113*AS115</f>
        <v>0</v>
      </c>
      <c r="AT116" s="40" t="n">
        <f aca="false">AT113*AT115</f>
        <v>0</v>
      </c>
      <c r="AU116" s="40" t="n">
        <f aca="false">AU113*AU115</f>
        <v>0</v>
      </c>
      <c r="AV116" s="40" t="n">
        <f aca="false">AV113*AV115</f>
        <v>0</v>
      </c>
    </row>
    <row r="117" customFormat="false" ht="15" hidden="false" customHeight="false" outlineLevel="0" collapsed="false">
      <c r="B117" s="7" t="s">
        <v>150</v>
      </c>
      <c r="D117" s="16" t="n">
        <f aca="false">IF(AND($C$97=0,D$103=$C$99),D106-D105*($C$101+$C$95)-MAX(0,D106-D105*$C$101)*Inputs!$C$11,0)</f>
        <v>0</v>
      </c>
      <c r="E117" s="16" t="n">
        <f aca="false">IF(AND($C$97=0,E$103=$C$99),E106-E105*($C$101+$C$95)-MAX(0,E106-E105*$C$101)*Inputs!$C$11,0)</f>
        <v>0</v>
      </c>
      <c r="F117" s="16" t="n">
        <f aca="false">IF(AND($C$97=0,F$103=$C$99),F106-F105*($C$101+$C$95)-MAX(0,F106-F105*$C$101)*Inputs!$C$11,0)</f>
        <v>0</v>
      </c>
      <c r="G117" s="16" t="n">
        <f aca="false">IF(AND($C$97=0,G$103=$C$99),G106-G105*($C$101+$C$95)-MAX(0,G106-G105*$C$101)*Inputs!$C$11,0)</f>
        <v>0</v>
      </c>
      <c r="H117" s="16" t="n">
        <f aca="false">IF(AND($C$97=0,H$103=$C$99),H106-H105*($C$101+$C$95)-MAX(0,H106-H105*$C$101)*Inputs!$C$11,0)</f>
        <v>597.323585617196</v>
      </c>
      <c r="I117" s="16" t="n">
        <f aca="false">IF(AND($C$97=0,I$103=$C$99),I106-I105*($C$101+$C$95)-MAX(0,I106-I105*$C$101)*Inputs!$C$11,0)</f>
        <v>0</v>
      </c>
      <c r="J117" s="16" t="n">
        <f aca="false">IF(AND($C$97=0,J$103=$C$99),J106-J105*($C$101+$C$95)-MAX(0,J106-J105*$C$101)*Inputs!$C$11,0)</f>
        <v>0</v>
      </c>
      <c r="K117" s="16" t="n">
        <f aca="false">IF(AND($C$97=0,K$103=$C$99),K106-K105*($C$101+$C$95)-MAX(0,K106-K105*$C$101)*Inputs!$C$11,0)</f>
        <v>0</v>
      </c>
      <c r="L117" s="16" t="n">
        <f aca="false">IF(AND($C$97=0,L$103=$C$99),L106-L105*($C$101+$C$95)-MAX(0,L106-L105*$C$101)*Inputs!$C$11,0)</f>
        <v>0</v>
      </c>
      <c r="M117" s="16" t="n">
        <f aca="false">IF(AND($C$97=0,M$103=$C$99),M106-M105*($C$101+$C$95)-MAX(0,M106-M105*$C$101)*Inputs!$C$11,0)</f>
        <v>0</v>
      </c>
      <c r="N117" s="16" t="n">
        <f aca="false">IF(AND($C$97=0,N$103=$C$99),N106-N105*($C$101+$C$95)-MAX(0,N106-N105*$C$101)*Inputs!$C$11,0)</f>
        <v>0</v>
      </c>
      <c r="O117" s="16" t="n">
        <f aca="false">IF(AND($C$97=0,O$103=$C$99),O106-O105*($C$101+$C$95)-MAX(0,O106-O105*$C$101)*Inputs!$C$11,0)</f>
        <v>0</v>
      </c>
      <c r="P117" s="16" t="n">
        <f aca="false">IF(AND($C$97=0,P$103=$C$99),P106-P105*($C$101+$C$95)-MAX(0,P106-P105*$C$101)*Inputs!$C$11,0)</f>
        <v>0</v>
      </c>
      <c r="Q117" s="16" t="n">
        <f aca="false">IF(AND($C$97=0,Q$103=$C$99),Q106-Q105*($C$101+$C$95)-MAX(0,Q106-Q105*$C$101)*Inputs!$C$11,0)</f>
        <v>0</v>
      </c>
      <c r="R117" s="16" t="n">
        <f aca="false">IF(AND($C$97=0,R$103=$C$99),R106-R105*($C$101+$C$95)-MAX(0,R106-R105*$C$101)*Inputs!$C$11,0)</f>
        <v>0</v>
      </c>
      <c r="S117" s="16" t="n">
        <f aca="false">IF(AND($C$97=0,S$103=$C$99),S106-S105*($C$101+$C$95)-MAX(0,S106-S105*$C$101)*Inputs!$C$11,0)</f>
        <v>0</v>
      </c>
      <c r="T117" s="16" t="n">
        <f aca="false">IF(AND($C$97=0,T$103=$C$99),T106-T105*($C$101+$C$95)-MAX(0,T106-T105*$C$101)*Inputs!$C$11,0)</f>
        <v>0</v>
      </c>
      <c r="U117" s="16" t="n">
        <f aca="false">IF(AND($C$97=0,U$103=$C$99),U106-U105*($C$101+$C$95)-MAX(0,U106-U105*$C$101)*Inputs!$C$11,0)</f>
        <v>0</v>
      </c>
      <c r="V117" s="16" t="n">
        <f aca="false">IF(AND($C$97=0,V$103=$C$99),V106-V105*($C$101+$C$95)-MAX(0,V106-V105*$C$101)*Inputs!$C$11,0)</f>
        <v>0</v>
      </c>
      <c r="W117" s="16" t="n">
        <f aca="false">IF(AND($C$97=0,W$103=$C$99),W106-W105*($C$101+$C$95)-MAX(0,W106-W105*$C$101)*Inputs!$C$11,0)</f>
        <v>0</v>
      </c>
      <c r="X117" s="16" t="n">
        <f aca="false">IF(AND($C$97=0,X$103=$C$99),X106-X105*($C$101+$C$95)-MAX(0,X106-X105*$C$101)*Inputs!$C$11,0)</f>
        <v>0</v>
      </c>
      <c r="Y117" s="16" t="n">
        <f aca="false">IF(AND($C$97=0,Y$103=$C$99),Y106-Y105*($C$101+$C$95)-MAX(0,Y106-Y105*$C$101)*Inputs!$C$11,0)</f>
        <v>0</v>
      </c>
      <c r="Z117" s="16" t="n">
        <f aca="false">IF(AND($C$97=0,Z$103=$C$99),Z106-Z105*($C$101+$C$95)-MAX(0,Z106-Z105*$C$101)*Inputs!$C$11,0)</f>
        <v>0</v>
      </c>
      <c r="AA117" s="16" t="n">
        <f aca="false">IF(AND($C$97=0,AA$103=$C$99),AA106-AA105*($C$101+$C$95)-MAX(0,AA106-AA105*$C$101)*Inputs!$C$11,0)</f>
        <v>0</v>
      </c>
      <c r="AB117" s="16" t="n">
        <f aca="false">IF(AND($C$97=0,AB$103=$C$99),AB106-AB105*($C$101+$C$95)-MAX(0,AB106-AB105*$C$101)*Inputs!$C$11,0)</f>
        <v>0</v>
      </c>
      <c r="AC117" s="16" t="n">
        <f aca="false">IF(AND($C$97=0,AC$103=$C$99),AC106-AC105*($C$101+$C$95)-MAX(0,AC106-AC105*$C$101)*Inputs!$C$11,0)</f>
        <v>0</v>
      </c>
      <c r="AD117" s="16" t="n">
        <f aca="false">IF(AND($C$97=0,AD$103=$C$99),AD106-AD105*($C$101+$C$95)-MAX(0,AD106-AD105*$C$101)*Inputs!$C$11,0)</f>
        <v>0</v>
      </c>
      <c r="AE117" s="16" t="n">
        <f aca="false">IF(AND($C$97=0,AE$103=$C$99),AE106-AE105*($C$101+$C$95)-MAX(0,AE106-AE105*$C$101)*Inputs!$C$11,0)</f>
        <v>0</v>
      </c>
      <c r="AF117" s="16" t="n">
        <f aca="false">IF(AND($C$97=0,AF$103=$C$99),AF106-AF105*($C$101+$C$95)-MAX(0,AF106-AF105*$C$101)*Inputs!$C$11,0)</f>
        <v>0</v>
      </c>
      <c r="AG117" s="16" t="n">
        <f aca="false">IF(AND($C$97=0,AG$103=$C$99),AG106-AG105*($C$101+$C$95)-MAX(0,AG106-AG105*$C$101)*Inputs!$C$11,0)</f>
        <v>0</v>
      </c>
      <c r="AH117" s="16" t="n">
        <f aca="false">IF(AND($C$97=0,AH$103=$C$99),AH106-AH105*($C$101+$C$95)-MAX(0,AH106-AH105*$C$101)*Inputs!$C$11,0)</f>
        <v>0</v>
      </c>
      <c r="AI117" s="16" t="n">
        <f aca="false">IF(AND($C$97=0,AI$103=$C$99),AI106-AI105*($C$101+$C$95)-MAX(0,AI106-AI105*$C$101)*Inputs!$C$11,0)</f>
        <v>0</v>
      </c>
      <c r="AJ117" s="16" t="n">
        <f aca="false">IF(AND($C$97=0,AJ$103=$C$99),AJ106-AJ105*($C$101+$C$95)-MAX(0,AJ106-AJ105*$C$101)*Inputs!$C$11,0)</f>
        <v>0</v>
      </c>
      <c r="AK117" s="16" t="n">
        <f aca="false">IF(AND($C$97=0,AK$103=$C$99),AK106-AK105*($C$101+$C$95)-MAX(0,AK106-AK105*$C$101)*Inputs!$C$11,0)</f>
        <v>0</v>
      </c>
      <c r="AL117" s="16" t="n">
        <f aca="false">IF(AND($C$97=0,AL$103=$C$99),AL106-AL105*($C$101+$C$95)-MAX(0,AL106-AL105*$C$101)*Inputs!$C$11,0)</f>
        <v>0</v>
      </c>
      <c r="AM117" s="16" t="n">
        <f aca="false">IF(AND($C$97=0,AM$103=$C$99),AM106-AM105*($C$101+$C$95)-MAX(0,AM106-AM105*$C$101)*Inputs!$C$11,0)</f>
        <v>0</v>
      </c>
      <c r="AN117" s="16" t="n">
        <f aca="false">IF(AND($C$97=0,AN$103=$C$99),AN106-AN105*($C$101+$C$95)-MAX(0,AN106-AN105*$C$101)*Inputs!$C$11,0)</f>
        <v>0</v>
      </c>
      <c r="AO117" s="16" t="n">
        <f aca="false">IF(AND($C$97=0,AO$103=$C$99),AO106-AO105*($C$101+$C$95)-MAX(0,AO106-AO105*$C$101)*Inputs!$C$11,0)</f>
        <v>0</v>
      </c>
      <c r="AP117" s="16" t="n">
        <f aca="false">IF(AND($C$97=0,AP$103=$C$99),AP106-AP105*($C$101+$C$95)-MAX(0,AP106-AP105*$C$101)*Inputs!$C$11,0)</f>
        <v>0</v>
      </c>
      <c r="AQ117" s="16" t="n">
        <f aca="false">IF(AND($C$97=0,AQ$103=$C$99),AQ106-AQ105*($C$101+$C$95)-MAX(0,AQ106-AQ105*$C$101)*Inputs!$C$11,0)</f>
        <v>0</v>
      </c>
      <c r="AR117" s="16" t="n">
        <f aca="false">IF(AND($C$97=0,AR$103=$C$99),AR106-AR105*($C$101+$C$95)-MAX(0,AR106-AR105*$C$101)*Inputs!$C$11,0)</f>
        <v>0</v>
      </c>
      <c r="AS117" s="16" t="n">
        <f aca="false">IF(AND($C$97=0,AS$103=$C$99),AS106-AS105*($C$101+$C$95)-MAX(0,AS106-AS105*$C$101)*Inputs!$C$11,0)</f>
        <v>0</v>
      </c>
      <c r="AT117" s="16" t="n">
        <f aca="false">IF(AND($C$97=0,AT$103=$C$99),AT106-AT105*($C$101+$C$95)-MAX(0,AT106-AT105*$C$101)*Inputs!$C$11,0)</f>
        <v>0</v>
      </c>
      <c r="AU117" s="16" t="n">
        <f aca="false">IF(AND($C$97=0,AU$103=$C$99),AU106-AU105*($C$101+$C$95)-MAX(0,AU106-AU105*$C$101)*Inputs!$C$11,0)</f>
        <v>0</v>
      </c>
      <c r="AV117" s="16" t="n">
        <f aca="false">IF(AND($C$97=0,AV$103=$C$99),AV106-AV105*($C$101+$C$95)-MAX(0,AV106-AV105*$C$101)*Inputs!$C$11,0)</f>
        <v>0</v>
      </c>
    </row>
    <row r="118" customFormat="false" ht="15" hidden="false" customHeight="false" outlineLevel="0" collapsed="false">
      <c r="B118" s="7" t="s">
        <v>151</v>
      </c>
      <c r="D118" s="16" t="n">
        <f aca="false">D117*(1+$C$100)/($C$96-$C$100)*D115</f>
        <v>0</v>
      </c>
      <c r="E118" s="16" t="n">
        <f aca="false">E117*(1+$C$100)/($C$96-$C$100)*E115</f>
        <v>0</v>
      </c>
      <c r="F118" s="16" t="n">
        <f aca="false">F117*(1+$C$100)/($C$96-$C$100)*F115</f>
        <v>0</v>
      </c>
      <c r="G118" s="16" t="n">
        <f aca="false">G117*(1+$C$100)/($C$96-$C$100)*G115</f>
        <v>0</v>
      </c>
      <c r="H118" s="16" t="n">
        <f aca="false">H117*(1+$C$100)/($C$96-$C$100)*H115</f>
        <v>6851.60963282071</v>
      </c>
      <c r="I118" s="16" t="n">
        <f aca="false">I117*(1+$C$100)/($C$96-$C$100)*I115</f>
        <v>0</v>
      </c>
      <c r="J118" s="16" t="n">
        <f aca="false">J117*(1+$C$100)/($C$96-$C$100)*J115</f>
        <v>0</v>
      </c>
      <c r="K118" s="16" t="n">
        <f aca="false">K117*(1+$C$100)/($C$96-$C$100)*K115</f>
        <v>0</v>
      </c>
      <c r="L118" s="16" t="n">
        <f aca="false">L117*(1+$C$100)/($C$96-$C$100)*L115</f>
        <v>0</v>
      </c>
      <c r="M118" s="16" t="n">
        <f aca="false">M117*(1+$C$100)/($C$96-$C$100)*M115</f>
        <v>0</v>
      </c>
      <c r="N118" s="16" t="n">
        <f aca="false">N117*(1+$C$100)/($C$96-$C$100)*N115</f>
        <v>0</v>
      </c>
      <c r="O118" s="16" t="n">
        <f aca="false">O117*(1+$C$100)/($C$96-$C$100)*O115</f>
        <v>0</v>
      </c>
      <c r="P118" s="16" t="n">
        <f aca="false">P117*(1+$C$100)/($C$96-$C$100)*P115</f>
        <v>0</v>
      </c>
      <c r="Q118" s="16" t="n">
        <f aca="false">Q117*(1+$C$100)/($C$96-$C$100)*Q115</f>
        <v>0</v>
      </c>
      <c r="R118" s="16" t="n">
        <f aca="false">R117*(1+$C$100)/($C$96-$C$100)*R115</f>
        <v>0</v>
      </c>
      <c r="S118" s="16" t="n">
        <f aca="false">S117*(1+$C$100)/($C$96-$C$100)*S115</f>
        <v>0</v>
      </c>
      <c r="T118" s="16" t="n">
        <f aca="false">T117*(1+$C$100)/($C$96-$C$100)*T115</f>
        <v>0</v>
      </c>
      <c r="U118" s="16" t="n">
        <f aca="false">U117*(1+$C$100)/($C$96-$C$100)*U115</f>
        <v>0</v>
      </c>
      <c r="V118" s="16" t="n">
        <f aca="false">V117*(1+$C$100)/($C$96-$C$100)*V115</f>
        <v>0</v>
      </c>
      <c r="W118" s="16" t="n">
        <f aca="false">W117*(1+$C$100)/($C$96-$C$100)*W115</f>
        <v>0</v>
      </c>
      <c r="X118" s="16" t="n">
        <f aca="false">X117*(1+$C$100)/($C$96-$C$100)*X115</f>
        <v>0</v>
      </c>
      <c r="Y118" s="16" t="n">
        <f aca="false">Y117*(1+$C$100)/($C$96-$C$100)*Y115</f>
        <v>0</v>
      </c>
      <c r="Z118" s="16" t="n">
        <f aca="false">Z117*(1+$C$100)/($C$96-$C$100)*Z115</f>
        <v>0</v>
      </c>
      <c r="AA118" s="16" t="n">
        <f aca="false">AA117*(1+$C$100)/($C$96-$C$100)*AA115</f>
        <v>0</v>
      </c>
      <c r="AB118" s="16" t="n">
        <f aca="false">AB117*(1+$C$100)/($C$96-$C$100)*AB115</f>
        <v>0</v>
      </c>
      <c r="AC118" s="16" t="n">
        <f aca="false">AC117*(1+$C$100)/($C$96-$C$100)*AC115</f>
        <v>0</v>
      </c>
      <c r="AD118" s="16" t="n">
        <f aca="false">AD117*(1+$C$100)/($C$96-$C$100)*AD115</f>
        <v>0</v>
      </c>
      <c r="AE118" s="16" t="n">
        <f aca="false">AE117*(1+$C$100)/($C$96-$C$100)*AE115</f>
        <v>0</v>
      </c>
      <c r="AF118" s="16" t="n">
        <f aca="false">AF117*(1+$C$100)/($C$96-$C$100)*AF115</f>
        <v>0</v>
      </c>
      <c r="AG118" s="16" t="n">
        <f aca="false">AG117*(1+$C$100)/($C$96-$C$100)*AG115</f>
        <v>0</v>
      </c>
      <c r="AH118" s="16" t="n">
        <f aca="false">AH117*(1+$C$100)/($C$96-$C$100)*AH115</f>
        <v>0</v>
      </c>
      <c r="AI118" s="16" t="n">
        <f aca="false">AI117*(1+$C$100)/($C$96-$C$100)*AI115</f>
        <v>0</v>
      </c>
      <c r="AJ118" s="16" t="n">
        <f aca="false">AJ117*(1+$C$100)/($C$96-$C$100)*AJ115</f>
        <v>0</v>
      </c>
      <c r="AK118" s="16" t="n">
        <f aca="false">AK117*(1+$C$100)/($C$96-$C$100)*AK115</f>
        <v>0</v>
      </c>
      <c r="AL118" s="16" t="n">
        <f aca="false">AL117*(1+$C$100)/($C$96-$C$100)*AL115</f>
        <v>0</v>
      </c>
      <c r="AM118" s="16" t="n">
        <f aca="false">AM117*(1+$C$100)/($C$96-$C$100)*AM115</f>
        <v>0</v>
      </c>
      <c r="AN118" s="16" t="n">
        <f aca="false">AN117*(1+$C$100)/($C$96-$C$100)*AN115</f>
        <v>0</v>
      </c>
      <c r="AO118" s="16" t="n">
        <f aca="false">AO117*(1+$C$100)/($C$96-$C$100)*AO115</f>
        <v>0</v>
      </c>
      <c r="AP118" s="16" t="n">
        <f aca="false">AP117*(1+$C$100)/($C$96-$C$100)*AP115</f>
        <v>0</v>
      </c>
      <c r="AQ118" s="16" t="n">
        <f aca="false">AQ117*(1+$C$100)/($C$96-$C$100)*AQ115</f>
        <v>0</v>
      </c>
      <c r="AR118" s="16" t="n">
        <f aca="false">AR117*(1+$C$100)/($C$96-$C$100)*AR115</f>
        <v>0</v>
      </c>
      <c r="AS118" s="16" t="n">
        <f aca="false">AS117*(1+$C$100)/($C$96-$C$100)*AS115</f>
        <v>0</v>
      </c>
      <c r="AT118" s="16" t="n">
        <f aca="false">AT117*(1+$C$100)/($C$96-$C$100)*AT115</f>
        <v>0</v>
      </c>
      <c r="AU118" s="16" t="n">
        <f aca="false">AU117*(1+$C$100)/($C$96-$C$100)*AU115</f>
        <v>0</v>
      </c>
      <c r="AV118" s="16" t="n">
        <f aca="false">AV117*(1+$C$100)/($C$96-$C$100)*AV115</f>
        <v>0</v>
      </c>
    </row>
    <row r="120" customFormat="false" ht="15" hidden="false" customHeight="false" outlineLevel="0" collapsed="false">
      <c r="B120" s="7" t="s">
        <v>152</v>
      </c>
      <c r="C120" s="16" t="n">
        <f aca="false">SUM($D$116:$AV$116)</f>
        <v>2487.00072132762</v>
      </c>
    </row>
    <row r="121" customFormat="false" ht="15" hidden="false" customHeight="false" outlineLevel="0" collapsed="false">
      <c r="B121" s="7" t="s">
        <v>151</v>
      </c>
      <c r="C121" s="16" t="n">
        <f aca="false">SUM($D$118:$AV$118)</f>
        <v>6851.60963282071</v>
      </c>
    </row>
    <row r="122" customFormat="false" ht="15" hidden="false" customHeight="false" outlineLevel="0" collapsed="false">
      <c r="B122" s="12" t="s">
        <v>181</v>
      </c>
      <c r="C122" s="13" t="n">
        <f aca="false">C120+C121</f>
        <v>9338.61035414834</v>
      </c>
    </row>
    <row r="123" customFormat="false" ht="15" hidden="false" customHeight="false" outlineLevel="0" collapsed="false">
      <c r="B123" s="7" t="s">
        <v>154</v>
      </c>
      <c r="C123" s="10" t="n">
        <f aca="false">IF(C122=0,0,C121/C122)</f>
        <v>0.733686209509441</v>
      </c>
    </row>
    <row r="124" customFormat="false" ht="15" hidden="false" customHeight="false" outlineLevel="0" collapsed="false">
      <c r="B124" s="7" t="s">
        <v>155</v>
      </c>
      <c r="C124" s="41" t="n">
        <f aca="false">IF(D106=0,0,C122/D106)</f>
        <v>4.42052293797197</v>
      </c>
    </row>
    <row r="125" customFormat="false" ht="15" hidden="false" customHeight="false" outlineLevel="0" collapsed="false">
      <c r="B125" s="7" t="s">
        <v>156</v>
      </c>
      <c r="C125" s="16" t="n">
        <f aca="false">SUM($D$117:$AV$117)</f>
        <v>597.323585617196</v>
      </c>
    </row>
    <row r="126" customFormat="false" ht="15" hidden="false" customHeight="false" outlineLevel="0" collapsed="false">
      <c r="B126" s="7" t="s">
        <v>157</v>
      </c>
      <c r="C126" s="37" t="n">
        <f aca="false">SUMPRODUCT(($D$103:$AV$103=$C$99)*$D$114:$AV$114)</f>
        <v>4.00821917808219</v>
      </c>
    </row>
    <row r="127" customFormat="false" ht="15" hidden="false" customHeight="false" outlineLevel="0" collapsed="false">
      <c r="B127" s="12" t="s">
        <v>158</v>
      </c>
      <c r="C127" s="12" t="str">
        <f aca="false">IF(AND($C$96&gt;$C$100,SUMPRODUCT(($D$103:$AV$103&gt;YEAR($C$98))*($C$97=1)*ABS($D$113:$AV$113))=0),"OK","REVISAR")</f>
        <v>OK</v>
      </c>
    </row>
  </sheetData>
  <mergeCells count="6">
    <mergeCell ref="B4:F4"/>
    <mergeCell ref="D5:N17"/>
    <mergeCell ref="B46:F46"/>
    <mergeCell ref="D47:N59"/>
    <mergeCell ref="B88:F88"/>
    <mergeCell ref="D89:N1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5" min="3" style="0" width="13"/>
    <col collapsed="false" customWidth="true" hidden="false" outlineLevel="0" max="6" min="6" style="0" width="60"/>
  </cols>
  <sheetData>
    <row r="2" customFormat="false" ht="17.25" hidden="false" customHeight="true" outlineLevel="0" collapsed="false">
      <c r="B2" s="42" t="s">
        <v>182</v>
      </c>
    </row>
    <row r="3" customFormat="false" ht="15" hidden="false" customHeight="true" outlineLevel="0" collapsed="false">
      <c r="B3" s="43" t="s">
        <v>183</v>
      </c>
    </row>
    <row r="5" customFormat="false" ht="15" hidden="false" customHeight="true" outlineLevel="0" collapsed="false">
      <c r="B5" s="44" t="s">
        <v>184</v>
      </c>
    </row>
    <row r="6" customFormat="false" ht="15" hidden="false" customHeight="true" outlineLevel="0" collapsed="false">
      <c r="C6" s="45" t="s">
        <v>185</v>
      </c>
      <c r="D6" s="45" t="s">
        <v>186</v>
      </c>
      <c r="E6" s="45" t="s">
        <v>187</v>
      </c>
    </row>
    <row r="7" customFormat="false" ht="15" hidden="false" customHeight="true" outlineLevel="0" collapsed="false">
      <c r="B7" s="46" t="s">
        <v>188</v>
      </c>
      <c r="C7" s="47" t="n">
        <v>74599</v>
      </c>
      <c r="D7" s="47" t="n">
        <v>71623</v>
      </c>
      <c r="E7" s="47" t="n">
        <v>68838</v>
      </c>
    </row>
    <row r="8" customFormat="false" ht="15" hidden="false" customHeight="true" outlineLevel="0" collapsed="false">
      <c r="B8" s="46" t="s">
        <v>189</v>
      </c>
      <c r="C8" s="47" t="n">
        <v>772</v>
      </c>
      <c r="D8" s="47" t="n">
        <v>837</v>
      </c>
      <c r="E8" s="47" t="n">
        <v>780</v>
      </c>
    </row>
    <row r="9" customFormat="false" ht="15" hidden="false" customHeight="true" outlineLevel="0" collapsed="false">
      <c r="B9" s="46" t="s">
        <v>190</v>
      </c>
      <c r="C9" s="47" t="n">
        <v>75372</v>
      </c>
      <c r="D9" s="47" t="n">
        <v>72459</v>
      </c>
      <c r="E9" s="47" t="n">
        <v>69619</v>
      </c>
    </row>
    <row r="10" customFormat="false" ht="15" hidden="false" customHeight="true" outlineLevel="0" collapsed="false">
      <c r="B10" s="46" t="s">
        <v>191</v>
      </c>
      <c r="C10" s="46" t="str">
        <f aca="false">IF(ABS(C7+C8-C9)&lt;=1,"OK (rounding)","REVIEW")</f>
        <v>OK (rounding)</v>
      </c>
      <c r="D10" s="46" t="str">
        <f aca="false">IF(ABS(D7+D8-D9)&lt;=1,"OK (rounding)","REVIEW")</f>
        <v>OK (rounding)</v>
      </c>
      <c r="E10" s="46" t="str">
        <f aca="false">IF(ABS(E7+E8-E9)&lt;=1,"OK (rounding)","REVIEW")</f>
        <v>OK (rounding)</v>
      </c>
    </row>
    <row r="12" customFormat="false" ht="15" hidden="false" customHeight="true" outlineLevel="0" collapsed="false">
      <c r="B12" s="46" t="s">
        <v>192</v>
      </c>
      <c r="C12" s="47" t="n">
        <v>331</v>
      </c>
      <c r="D12" s="47" t="n">
        <v>308</v>
      </c>
      <c r="E12" s="47" t="n">
        <v>267</v>
      </c>
    </row>
    <row r="13" customFormat="false" ht="15" hidden="false" customHeight="true" outlineLevel="0" collapsed="false">
      <c r="B13" s="46" t="s">
        <v>193</v>
      </c>
      <c r="C13" s="47" t="n">
        <v>-66145</v>
      </c>
      <c r="D13" s="47" t="n">
        <v>-63770</v>
      </c>
      <c r="E13" s="47" t="n">
        <v>-61529</v>
      </c>
    </row>
    <row r="14" customFormat="false" ht="15" hidden="false" customHeight="true" outlineLevel="0" collapsed="false">
      <c r="B14" s="44" t="s">
        <v>194</v>
      </c>
      <c r="C14" s="48" t="n">
        <v>9558</v>
      </c>
      <c r="D14" s="48" t="n">
        <v>8997</v>
      </c>
      <c r="E14" s="47" t="n">
        <v>8357</v>
      </c>
    </row>
    <row r="15" customFormat="false" ht="15" hidden="false" customHeight="true" outlineLevel="0" collapsed="false">
      <c r="B15" s="46" t="s">
        <v>195</v>
      </c>
      <c r="C15" s="46" t="str">
        <f aca="false">IF(ABS(C9+C12+C13-C14)&lt;=1,"OK","REVIEW")</f>
        <v>OK</v>
      </c>
      <c r="D15" s="46" t="str">
        <f aca="false">IF(ABS(D9+D12+D13-D14)&lt;=1,"OK","REVIEW")</f>
        <v>OK</v>
      </c>
      <c r="E15" s="46" t="str">
        <f aca="false">IF(ABS(E9+E12+E13-E14)&lt;=1,"OK","REVIEW")</f>
        <v>OK</v>
      </c>
    </row>
    <row r="16" customFormat="false" ht="15" hidden="false" customHeight="true" outlineLevel="0" collapsed="false">
      <c r="B16" s="46" t="s">
        <v>196</v>
      </c>
      <c r="C16" s="49" t="n">
        <f aca="false">C14/C7</f>
        <v>0.128125041890642</v>
      </c>
      <c r="D16" s="49" t="n">
        <f aca="false">D14/D7</f>
        <v>0.12561607304916</v>
      </c>
      <c r="E16" s="49" t="n">
        <f aca="false">E14/E7</f>
        <v>0.121400970394259</v>
      </c>
    </row>
    <row r="18" customFormat="false" ht="15" hidden="false" customHeight="true" outlineLevel="0" collapsed="false">
      <c r="B18" s="46" t="s">
        <v>197</v>
      </c>
      <c r="C18" s="47" t="n">
        <v>-567</v>
      </c>
      <c r="D18" s="47" t="n">
        <v>-462</v>
      </c>
      <c r="E18" s="47" t="n">
        <v>-360</v>
      </c>
    </row>
    <row r="19" customFormat="false" ht="15" hidden="false" customHeight="true" outlineLevel="0" collapsed="false">
      <c r="B19" s="46" t="s">
        <v>198</v>
      </c>
      <c r="C19" s="47" t="n">
        <v>300</v>
      </c>
      <c r="D19" s="47" t="n">
        <v>219</v>
      </c>
      <c r="E19" s="47" t="n">
        <v>111</v>
      </c>
    </row>
    <row r="20" customFormat="false" ht="15" hidden="false" customHeight="true" outlineLevel="0" collapsed="false">
      <c r="B20" s="46" t="s">
        <v>199</v>
      </c>
      <c r="C20" s="47" t="n">
        <v>110</v>
      </c>
      <c r="D20" s="47" t="n">
        <v>97</v>
      </c>
      <c r="E20" s="47" t="n">
        <v>68</v>
      </c>
    </row>
    <row r="21" customFormat="false" ht="15" hidden="false" customHeight="true" outlineLevel="0" collapsed="false">
      <c r="B21" s="44" t="s">
        <v>200</v>
      </c>
      <c r="C21" s="48" t="n">
        <v>9401</v>
      </c>
      <c r="D21" s="48" t="n">
        <v>8850</v>
      </c>
      <c r="E21" s="47" t="n">
        <v>8175</v>
      </c>
    </row>
    <row r="22" customFormat="false" ht="15" hidden="false" customHeight="true" outlineLevel="0" collapsed="false">
      <c r="B22" s="46" t="s">
        <v>201</v>
      </c>
      <c r="C22" s="47" t="n">
        <v>-37</v>
      </c>
      <c r="D22" s="47" t="n">
        <v>-68</v>
      </c>
      <c r="E22" s="47" t="n">
        <v>-105</v>
      </c>
    </row>
    <row r="23" customFormat="false" ht="15" hidden="false" customHeight="true" outlineLevel="0" collapsed="false">
      <c r="B23" s="44" t="s">
        <v>202</v>
      </c>
      <c r="C23" s="48" t="n">
        <v>9364</v>
      </c>
      <c r="D23" s="48" t="n">
        <v>8783</v>
      </c>
      <c r="E23" s="47" t="n">
        <v>8071</v>
      </c>
    </row>
    <row r="25" customFormat="false" ht="15" hidden="false" customHeight="true" outlineLevel="0" collapsed="false">
      <c r="B25" s="46" t="s">
        <v>203</v>
      </c>
      <c r="C25" s="47" t="n">
        <v>-1760</v>
      </c>
      <c r="D25" s="47" t="n">
        <v>-1785</v>
      </c>
      <c r="E25" s="47" t="n">
        <v>-1363</v>
      </c>
    </row>
    <row r="26" customFormat="false" ht="15" hidden="false" customHeight="true" outlineLevel="0" collapsed="false">
      <c r="B26" s="46" t="s">
        <v>204</v>
      </c>
      <c r="C26" s="47" t="n">
        <v>513</v>
      </c>
      <c r="D26" s="47" t="n">
        <v>595</v>
      </c>
      <c r="E26" s="47" t="n">
        <v>469</v>
      </c>
    </row>
    <row r="27" customFormat="false" ht="15" hidden="false" customHeight="true" outlineLevel="0" collapsed="false">
      <c r="B27" s="44" t="s">
        <v>205</v>
      </c>
      <c r="C27" s="48" t="n">
        <v>-1247</v>
      </c>
      <c r="D27" s="48" t="n">
        <v>-1191</v>
      </c>
      <c r="E27" s="47" t="n">
        <v>-894</v>
      </c>
    </row>
    <row r="28" customFormat="false" ht="15" hidden="false" customHeight="true" outlineLevel="0" collapsed="false">
      <c r="B28" s="46" t="s">
        <v>206</v>
      </c>
      <c r="C28" s="47" t="n">
        <v>-181</v>
      </c>
      <c r="D28" s="47" t="n">
        <v>-217</v>
      </c>
      <c r="E28" s="47" t="n">
        <v>-157</v>
      </c>
    </row>
    <row r="29" customFormat="false" ht="15" hidden="false" customHeight="true" outlineLevel="0" collapsed="false">
      <c r="B29" s="46" t="s">
        <v>207</v>
      </c>
      <c r="C29" s="50" t="n">
        <f aca="false">C23+C27+C28-C19</f>
        <v>7636</v>
      </c>
      <c r="D29" s="50" t="n">
        <f aca="false">D23+D27+D28-D19</f>
        <v>7156</v>
      </c>
      <c r="E29" s="50" t="n">
        <f aca="false">E23+E27+E28</f>
        <v>7020</v>
      </c>
    </row>
    <row r="30" customFormat="false" ht="15" hidden="false" customHeight="true" outlineLevel="0" collapsed="false">
      <c r="B30" s="46" t="s">
        <v>208</v>
      </c>
      <c r="C30" s="47" t="n">
        <v>-2661</v>
      </c>
      <c r="D30" s="47" t="n">
        <v>-2102</v>
      </c>
      <c r="E30" s="47" t="n">
        <v>-1917</v>
      </c>
    </row>
    <row r="31" customFormat="false" ht="15" hidden="false" customHeight="true" outlineLevel="0" collapsed="false">
      <c r="B31" s="46" t="s">
        <v>209</v>
      </c>
      <c r="C31" s="51" t="n">
        <f aca="false">-C30/C29</f>
        <v>0.348480880041907</v>
      </c>
      <c r="D31" s="51" t="n">
        <f aca="false">-D30/D29</f>
        <v>0.293739519284516</v>
      </c>
      <c r="E31" s="51" t="n">
        <f aca="false">-E30/E29</f>
        <v>0.273076923076923</v>
      </c>
    </row>
    <row r="32" customFormat="false" ht="15" hidden="false" customHeight="true" outlineLevel="0" collapsed="false">
      <c r="B32" s="44" t="s">
        <v>210</v>
      </c>
      <c r="C32" s="48" t="n">
        <v>5275</v>
      </c>
      <c r="D32" s="48" t="n">
        <v>5274</v>
      </c>
      <c r="E32" s="47" t="n">
        <v>5102</v>
      </c>
    </row>
    <row r="33" customFormat="false" ht="15" hidden="false" customHeight="true" outlineLevel="0" collapsed="false">
      <c r="B33" s="46" t="s">
        <v>211</v>
      </c>
      <c r="C33" s="47" t="n">
        <v>372</v>
      </c>
      <c r="D33" s="47" t="n">
        <v>410</v>
      </c>
      <c r="E33" s="47" t="n">
        <v>400</v>
      </c>
    </row>
    <row r="34" customFormat="false" ht="15" hidden="false" customHeight="true" outlineLevel="0" collapsed="false">
      <c r="B34" s="44" t="s">
        <v>212</v>
      </c>
      <c r="C34" s="48" t="n">
        <v>4903</v>
      </c>
      <c r="D34" s="48" t="n">
        <v>4863</v>
      </c>
      <c r="E34" s="47" t="n">
        <v>4702</v>
      </c>
    </row>
    <row r="36" customFormat="false" ht="15" hidden="false" customHeight="true" outlineLevel="0" collapsed="false">
      <c r="B36" s="46" t="s">
        <v>213</v>
      </c>
      <c r="C36" s="47" t="n">
        <v>4206</v>
      </c>
      <c r="D36" s="47" t="n">
        <v>3998</v>
      </c>
      <c r="E36" s="47" t="n">
        <v>3799</v>
      </c>
    </row>
    <row r="37" customFormat="false" ht="15" hidden="false" customHeight="true" outlineLevel="0" collapsed="false">
      <c r="B37" s="46" t="s">
        <v>214</v>
      </c>
      <c r="C37" s="49" t="n">
        <f aca="false">C36/C7</f>
        <v>0.0563814528344884</v>
      </c>
      <c r="D37" s="49" t="n">
        <f aca="false">D36/D7</f>
        <v>0.0558200578026612</v>
      </c>
      <c r="E37" s="49" t="n">
        <f aca="false">E36/E7</f>
        <v>0.055187541764723</v>
      </c>
    </row>
    <row r="38" customFormat="false" ht="15" hidden="false" customHeight="true" outlineLevel="0" collapsed="false">
      <c r="B38" s="44" t="s">
        <v>215</v>
      </c>
      <c r="C38" s="48" t="n">
        <f aca="false">C14+C36</f>
        <v>13764</v>
      </c>
      <c r="D38" s="48" t="n">
        <f aca="false">D14+D36</f>
        <v>12995</v>
      </c>
      <c r="E38" s="48" t="n">
        <f aca="false">E14+E36</f>
        <v>12156</v>
      </c>
    </row>
    <row r="39" customFormat="false" ht="15" hidden="false" customHeight="true" outlineLevel="0" collapsed="false">
      <c r="B39" s="46" t="s">
        <v>216</v>
      </c>
      <c r="C39" s="49" t="n">
        <f aca="false">C38/C7</f>
        <v>0.18450649472513</v>
      </c>
      <c r="D39" s="49" t="n">
        <f aca="false">D38/D7</f>
        <v>0.181436130851821</v>
      </c>
      <c r="E39" s="49" t="n">
        <f aca="false">E38/E7</f>
        <v>0.176588512158982</v>
      </c>
    </row>
    <row r="41" customFormat="false" ht="15" hidden="false" customHeight="true" outlineLevel="0" collapsed="false">
      <c r="B41" s="52" t="s">
        <v>217</v>
      </c>
    </row>
    <row r="42" customFormat="false" ht="15" hidden="false" customHeight="true" outlineLevel="0" collapsed="false">
      <c r="B42" s="46" t="s">
        <v>218</v>
      </c>
      <c r="C42" s="53" t="n">
        <v>8.76</v>
      </c>
      <c r="D42" s="53" t="n">
        <v>8.53</v>
      </c>
      <c r="E42" s="53" t="n">
        <v>8.28</v>
      </c>
    </row>
    <row r="43" customFormat="false" ht="15" hidden="false" customHeight="true" outlineLevel="0" collapsed="false">
      <c r="B43" s="46" t="s">
        <v>219</v>
      </c>
      <c r="C43" s="53" t="n">
        <v>8.65</v>
      </c>
      <c r="D43" s="53" t="n">
        <v>8.43</v>
      </c>
      <c r="E43" s="53" t="n">
        <v>8.18</v>
      </c>
    </row>
    <row r="44" customFormat="false" ht="15" hidden="false" customHeight="true" outlineLevel="0" collapsed="false">
      <c r="B44" s="46" t="s">
        <v>220</v>
      </c>
      <c r="C44" s="54" t="n">
        <f aca="false">C34/C42</f>
        <v>559.703196347032</v>
      </c>
      <c r="D44" s="54" t="n">
        <f aca="false">D34/D42</f>
        <v>570.10550996483</v>
      </c>
      <c r="E44" s="54" t="n">
        <f aca="false">E34/E42</f>
        <v>567.874396135266</v>
      </c>
    </row>
    <row r="45" customFormat="false" ht="15" hidden="false" customHeight="true" outlineLevel="0" collapsed="false">
      <c r="B45" s="46" t="s">
        <v>221</v>
      </c>
      <c r="C45" s="54" t="n">
        <f aca="false">C34/C43</f>
        <v>566.820809248555</v>
      </c>
      <c r="D45" s="54" t="n">
        <f aca="false">D34/D43</f>
        <v>576.868327402135</v>
      </c>
      <c r="E45" s="54" t="n">
        <f aca="false">E34/E43</f>
        <v>574.81662591687</v>
      </c>
    </row>
    <row r="47" customFormat="false" ht="15" hidden="false" customHeight="true" outlineLevel="0" collapsed="false">
      <c r="B47" s="44" t="s">
        <v>222</v>
      </c>
    </row>
    <row r="48" customFormat="false" ht="15" hidden="false" customHeight="true" outlineLevel="0" collapsed="false">
      <c r="B48" s="46" t="s">
        <v>223</v>
      </c>
      <c r="C48" s="55" t="n">
        <v>0.258</v>
      </c>
    </row>
    <row r="49" customFormat="false" ht="15" hidden="false" customHeight="true" outlineLevel="0" collapsed="false">
      <c r="B49" s="46" t="s">
        <v>224</v>
      </c>
      <c r="C49" s="56" t="s">
        <v>225</v>
      </c>
    </row>
    <row r="50" customFormat="false" ht="15" hidden="false" customHeight="true" outlineLevel="0" collapsed="false">
      <c r="B50" s="46" t="s">
        <v>226</v>
      </c>
      <c r="C50" s="57" t="n">
        <v>0.348</v>
      </c>
    </row>
    <row r="51" customFormat="false" ht="15" hidden="false" customHeight="true" outlineLevel="0" collapsed="false">
      <c r="B51" s="46" t="s">
        <v>227</v>
      </c>
      <c r="C51" s="56" t="s">
        <v>228</v>
      </c>
    </row>
    <row r="52" customFormat="false" ht="15" hidden="false" customHeight="true" outlineLevel="0" collapsed="false">
      <c r="B52" s="46" t="s">
        <v>229</v>
      </c>
      <c r="C52" s="51" t="n">
        <f aca="false">C31</f>
        <v>0.348480880041907</v>
      </c>
      <c r="D52" s="51" t="n">
        <f aca="false">D31</f>
        <v>0.293739519284516</v>
      </c>
      <c r="E52" s="51" t="n">
        <f aca="false">E31</f>
        <v>0.273076923076923</v>
      </c>
    </row>
    <row r="53" customFormat="false" ht="15" hidden="false" customHeight="true" outlineLevel="0" collapsed="false">
      <c r="B53" s="44" t="s">
        <v>230</v>
      </c>
      <c r="C53" s="58" t="n">
        <v>0.348</v>
      </c>
    </row>
    <row r="54" customFormat="false" ht="15" hidden="false" customHeight="true" outlineLevel="0" collapsed="false">
      <c r="B54" s="44" t="s">
        <v>231</v>
      </c>
      <c r="C54" s="58" t="n">
        <v>0.258</v>
      </c>
    </row>
    <row r="56" customFormat="false" ht="15" hidden="false" customHeight="true" outlineLevel="0" collapsed="false">
      <c r="B56" s="44" t="s">
        <v>232</v>
      </c>
    </row>
    <row r="57" customFormat="false" ht="15" hidden="false" customHeight="true" outlineLevel="0" collapsed="false">
      <c r="C57" s="45" t="s">
        <v>185</v>
      </c>
      <c r="D57" s="45" t="s">
        <v>186</v>
      </c>
      <c r="E57" s="45" t="s">
        <v>187</v>
      </c>
    </row>
    <row r="58" customFormat="false" ht="15" hidden="false" customHeight="true" outlineLevel="0" collapsed="false">
      <c r="B58" s="52" t="s">
        <v>233</v>
      </c>
    </row>
    <row r="59" customFormat="false" ht="15" hidden="false" customHeight="true" outlineLevel="0" collapsed="false">
      <c r="B59" s="46" t="s">
        <v>234</v>
      </c>
      <c r="C59" s="47" t="n">
        <v>29007</v>
      </c>
      <c r="D59" s="47" t="n">
        <v>29672</v>
      </c>
      <c r="E59" s="47" t="n">
        <v>29000</v>
      </c>
    </row>
    <row r="60" customFormat="false" ht="15" hidden="false" customHeight="true" outlineLevel="0" collapsed="false">
      <c r="B60" s="46" t="s">
        <v>235</v>
      </c>
      <c r="C60" s="47" t="n">
        <v>20177</v>
      </c>
      <c r="D60" s="47" t="n">
        <v>19519</v>
      </c>
      <c r="E60" s="47" t="n">
        <v>17577</v>
      </c>
    </row>
    <row r="61" customFormat="false" ht="15" hidden="false" customHeight="true" outlineLevel="0" collapsed="false">
      <c r="B61" s="46" t="s">
        <v>236</v>
      </c>
      <c r="C61" s="47" t="n">
        <v>11258</v>
      </c>
      <c r="D61" s="47" t="n">
        <v>11786</v>
      </c>
      <c r="E61" s="47" t="n">
        <v>8038</v>
      </c>
    </row>
    <row r="62" customFormat="false" ht="15" hidden="false" customHeight="true" outlineLevel="0" collapsed="false">
      <c r="B62" s="46" t="s">
        <v>237</v>
      </c>
      <c r="C62" s="47" t="n">
        <v>16681</v>
      </c>
      <c r="D62" s="47" t="n">
        <v>15300</v>
      </c>
      <c r="E62" s="47" t="n">
        <v>13012</v>
      </c>
    </row>
    <row r="63" customFormat="false" ht="15" hidden="false" customHeight="true" outlineLevel="0" collapsed="false">
      <c r="B63" s="46" t="s">
        <v>238</v>
      </c>
      <c r="C63" s="47" t="n">
        <v>1995</v>
      </c>
      <c r="D63" s="47" t="n">
        <v>2105</v>
      </c>
      <c r="E63" s="47" t="n">
        <v>1267</v>
      </c>
    </row>
    <row r="64" customFormat="false" ht="15" hidden="false" customHeight="true" outlineLevel="0" collapsed="false">
      <c r="B64" s="46" t="s">
        <v>239</v>
      </c>
      <c r="C64" s="47" t="n">
        <v>2909</v>
      </c>
      <c r="D64" s="47" t="n">
        <v>2743</v>
      </c>
      <c r="E64" s="47" t="n">
        <v>2646</v>
      </c>
    </row>
    <row r="65" customFormat="false" ht="15" hidden="false" customHeight="true" outlineLevel="0" collapsed="false">
      <c r="B65" s="46" t="s">
        <v>240</v>
      </c>
      <c r="C65" s="47" t="n">
        <v>151</v>
      </c>
      <c r="D65" s="47" t="n">
        <v>167</v>
      </c>
      <c r="E65" s="47" t="n">
        <v>125</v>
      </c>
    </row>
    <row r="66" customFormat="false" ht="15" hidden="false" customHeight="true" outlineLevel="0" collapsed="false">
      <c r="B66" s="46" t="s">
        <v>241</v>
      </c>
      <c r="C66" s="47" t="n">
        <v>1333</v>
      </c>
      <c r="D66" s="47" t="n">
        <v>1268</v>
      </c>
      <c r="E66" s="47" t="n">
        <v>1122</v>
      </c>
    </row>
    <row r="67" customFormat="false" ht="15" hidden="false" customHeight="true" outlineLevel="0" collapsed="false">
      <c r="B67" s="44" t="s">
        <v>242</v>
      </c>
      <c r="C67" s="48" t="n">
        <f aca="false">SUM(C59:C66)</f>
        <v>83511</v>
      </c>
      <c r="D67" s="48" t="n">
        <f aca="false">SUM(D59:D66)</f>
        <v>82560</v>
      </c>
      <c r="E67" s="48" t="n">
        <f aca="false">SUM(E59:E66)</f>
        <v>72787</v>
      </c>
    </row>
    <row r="69" customFormat="false" ht="15" hidden="false" customHeight="true" outlineLevel="0" collapsed="false">
      <c r="B69" s="52" t="s">
        <v>243</v>
      </c>
    </row>
    <row r="70" customFormat="false" ht="15" hidden="false" customHeight="true" outlineLevel="0" collapsed="false">
      <c r="B70" s="46" t="s">
        <v>244</v>
      </c>
      <c r="C70" s="47" t="n">
        <v>1700</v>
      </c>
      <c r="D70" s="47" t="n">
        <v>1772</v>
      </c>
      <c r="E70" s="47" t="n">
        <v>1878</v>
      </c>
    </row>
    <row r="71" customFormat="false" ht="15" hidden="false" customHeight="true" outlineLevel="0" collapsed="false">
      <c r="B71" s="46" t="s">
        <v>245</v>
      </c>
      <c r="C71" s="47" t="n">
        <v>19504</v>
      </c>
      <c r="D71" s="47" t="n">
        <v>19365</v>
      </c>
      <c r="E71" s="47" t="n">
        <v>18698</v>
      </c>
    </row>
    <row r="72" customFormat="false" ht="15" hidden="false" customHeight="true" outlineLevel="0" collapsed="false">
      <c r="B72" s="46" t="s">
        <v>246</v>
      </c>
      <c r="C72" s="47" t="n">
        <v>8265</v>
      </c>
      <c r="D72" s="47" t="n">
        <v>8333</v>
      </c>
      <c r="E72" s="47" t="n">
        <v>7798</v>
      </c>
    </row>
    <row r="73" customFormat="false" ht="15" hidden="false" customHeight="true" outlineLevel="0" collapsed="false">
      <c r="B73" s="46" t="s">
        <v>247</v>
      </c>
      <c r="C73" s="47" t="n">
        <v>419</v>
      </c>
      <c r="D73" s="47" t="n">
        <v>415</v>
      </c>
      <c r="E73" s="47" t="n">
        <v>351</v>
      </c>
    </row>
    <row r="74" customFormat="false" ht="15" hidden="false" customHeight="true" outlineLevel="0" collapsed="false">
      <c r="B74" s="46" t="s">
        <v>248</v>
      </c>
      <c r="C74" s="47" t="n">
        <v>119</v>
      </c>
      <c r="D74" s="47" t="n">
        <v>76</v>
      </c>
      <c r="E74" s="47" t="n">
        <v>79</v>
      </c>
    </row>
    <row r="75" customFormat="false" ht="15" hidden="false" customHeight="true" outlineLevel="0" collapsed="false">
      <c r="B75" s="46" t="s">
        <v>249</v>
      </c>
      <c r="C75" s="47" t="n">
        <v>188</v>
      </c>
      <c r="D75" s="47" t="n">
        <v>137</v>
      </c>
      <c r="E75" s="47" t="n">
        <v>94</v>
      </c>
    </row>
    <row r="76" customFormat="false" ht="15" hidden="false" customHeight="true" outlineLevel="0" collapsed="false">
      <c r="B76" s="46" t="s">
        <v>250</v>
      </c>
      <c r="C76" s="47" t="n">
        <v>1244</v>
      </c>
      <c r="D76" s="47" t="n">
        <v>895</v>
      </c>
      <c r="E76" s="47" t="n">
        <v>545</v>
      </c>
    </row>
    <row r="77" customFormat="false" ht="15" hidden="false" customHeight="true" outlineLevel="0" collapsed="false">
      <c r="B77" s="46" t="s">
        <v>251</v>
      </c>
      <c r="C77" s="47" t="n">
        <v>17254</v>
      </c>
      <c r="D77" s="47" t="n">
        <v>15199</v>
      </c>
      <c r="E77" s="47" t="n">
        <v>15627</v>
      </c>
    </row>
    <row r="78" customFormat="false" ht="15" hidden="false" customHeight="true" outlineLevel="0" collapsed="false">
      <c r="B78" s="46" t="s">
        <v>252</v>
      </c>
      <c r="C78" s="48" t="n">
        <f aca="false">SUM(C70:C77)</f>
        <v>48693</v>
      </c>
      <c r="D78" s="48" t="n">
        <f aca="false">SUM(D70:D77)</f>
        <v>46192</v>
      </c>
      <c r="E78" s="48" t="n">
        <f aca="false">SUM(E70:E77)</f>
        <v>45070</v>
      </c>
    </row>
    <row r="79" customFormat="false" ht="15" hidden="false" customHeight="true" outlineLevel="0" collapsed="false">
      <c r="B79" s="46" t="s">
        <v>253</v>
      </c>
      <c r="C79" s="47" t="n">
        <v>860</v>
      </c>
      <c r="D79" s="47" t="n">
        <v>739</v>
      </c>
      <c r="E79" s="47" t="n">
        <v>702</v>
      </c>
    </row>
    <row r="80" customFormat="false" ht="15" hidden="false" customHeight="true" outlineLevel="0" collapsed="false">
      <c r="B80" s="44" t="s">
        <v>254</v>
      </c>
      <c r="C80" s="48" t="n">
        <f aca="false">C67+SUM(C70:C77)+C79</f>
        <v>133064</v>
      </c>
      <c r="D80" s="48" t="n">
        <f aca="false">D67+SUM(D70:D77)+D79</f>
        <v>129491</v>
      </c>
      <c r="E80" s="48" t="n">
        <f aca="false">E67+SUM(E70:E77)+E79</f>
        <v>118559</v>
      </c>
    </row>
    <row r="82" customFormat="false" ht="15" hidden="false" customHeight="true" outlineLevel="0" collapsed="false">
      <c r="B82" s="52" t="s">
        <v>255</v>
      </c>
    </row>
    <row r="83" customFormat="false" ht="15" hidden="false" customHeight="true" outlineLevel="0" collapsed="false">
      <c r="B83" s="46" t="s">
        <v>256</v>
      </c>
      <c r="C83" s="47" t="n">
        <v>1455</v>
      </c>
      <c r="D83" s="47" t="n">
        <v>1455</v>
      </c>
      <c r="E83" s="47" t="n">
        <v>1473</v>
      </c>
    </row>
    <row r="84" customFormat="false" ht="15" hidden="false" customHeight="true" outlineLevel="0" collapsed="false">
      <c r="B84" s="46" t="s">
        <v>257</v>
      </c>
      <c r="C84" s="47" t="n">
        <v>14811</v>
      </c>
      <c r="D84" s="47" t="n">
        <v>14059</v>
      </c>
      <c r="E84" s="47" t="n">
        <v>13407</v>
      </c>
    </row>
    <row r="85" customFormat="false" ht="15" hidden="false" customHeight="true" outlineLevel="0" collapsed="false">
      <c r="B85" s="46" t="s">
        <v>258</v>
      </c>
      <c r="C85" s="47" t="n">
        <v>-2796</v>
      </c>
      <c r="D85" s="47" t="n">
        <v>-1566</v>
      </c>
      <c r="E85" s="47" t="n">
        <v>-1419</v>
      </c>
    </row>
    <row r="86" customFormat="false" ht="15" hidden="false" customHeight="true" outlineLevel="0" collapsed="false">
      <c r="B86" s="46" t="s">
        <v>259</v>
      </c>
      <c r="C86" s="47" t="n">
        <v>13454</v>
      </c>
      <c r="D86" s="47" t="n">
        <v>11724</v>
      </c>
      <c r="E86" s="47" t="n">
        <v>10422</v>
      </c>
    </row>
    <row r="87" customFormat="false" ht="15" hidden="false" customHeight="true" outlineLevel="0" collapsed="false">
      <c r="B87" s="46" t="s">
        <v>260</v>
      </c>
      <c r="C87" s="47" t="n">
        <v>-906</v>
      </c>
      <c r="D87" s="47" t="n">
        <v>-32</v>
      </c>
      <c r="E87" s="47" t="n">
        <v>-91</v>
      </c>
    </row>
    <row r="88" customFormat="false" ht="15" hidden="false" customHeight="true" outlineLevel="0" collapsed="false">
      <c r="B88" s="46" t="s">
        <v>212</v>
      </c>
      <c r="C88" s="47" t="n">
        <v>4903</v>
      </c>
      <c r="D88" s="47" t="n">
        <v>4863</v>
      </c>
      <c r="E88" s="47" t="n">
        <v>4702</v>
      </c>
    </row>
    <row r="89" customFormat="false" ht="15" hidden="false" customHeight="true" outlineLevel="0" collapsed="false">
      <c r="B89" s="46" t="s">
        <v>261</v>
      </c>
      <c r="C89" s="47" t="n">
        <v>-168</v>
      </c>
      <c r="D89" s="47" t="n">
        <v>-555</v>
      </c>
      <c r="E89" s="47" t="n">
        <v>-382</v>
      </c>
    </row>
    <row r="90" customFormat="false" ht="15" hidden="false" customHeight="true" outlineLevel="0" collapsed="false">
      <c r="B90" s="46" t="s">
        <v>262</v>
      </c>
      <c r="C90" s="50" t="n">
        <f aca="false">SUM(C83:C89)</f>
        <v>30753</v>
      </c>
      <c r="D90" s="50" t="n">
        <f aca="false">SUM(D83:D89)</f>
        <v>29948</v>
      </c>
      <c r="E90" s="50" t="n">
        <f aca="false">SUM(E83:E89)</f>
        <v>28112</v>
      </c>
    </row>
    <row r="91" customFormat="false" ht="15" hidden="false" customHeight="true" outlineLevel="0" collapsed="false">
      <c r="B91" s="46" t="s">
        <v>263</v>
      </c>
      <c r="C91" s="47" t="n">
        <v>3576</v>
      </c>
      <c r="D91" s="47" t="n">
        <v>4085</v>
      </c>
      <c r="E91" s="47" t="n">
        <v>3928</v>
      </c>
    </row>
    <row r="92" customFormat="false" ht="15" hidden="false" customHeight="true" outlineLevel="0" collapsed="false">
      <c r="B92" s="44" t="s">
        <v>264</v>
      </c>
      <c r="C92" s="48" t="n">
        <f aca="false">SUM(C83:C89)+C91</f>
        <v>34329</v>
      </c>
      <c r="D92" s="48" t="n">
        <f aca="false">SUM(D83:D89)+D91</f>
        <v>34033</v>
      </c>
      <c r="E92" s="48" t="n">
        <f aca="false">SUM(E83:E89)+E91</f>
        <v>32040</v>
      </c>
    </row>
    <row r="94" customFormat="false" ht="15" hidden="false" customHeight="true" outlineLevel="0" collapsed="false">
      <c r="B94" s="52" t="s">
        <v>265</v>
      </c>
    </row>
    <row r="95" customFormat="false" ht="15" hidden="false" customHeight="true" outlineLevel="0" collapsed="false">
      <c r="B95" s="46" t="s">
        <v>266</v>
      </c>
      <c r="C95" s="47" t="n">
        <v>1068</v>
      </c>
      <c r="D95" s="47" t="n">
        <v>1011</v>
      </c>
      <c r="E95" s="47" t="n">
        <v>1127</v>
      </c>
    </row>
    <row r="96" customFormat="false" ht="15" hidden="false" customHeight="true" outlineLevel="0" collapsed="false">
      <c r="B96" s="46" t="s">
        <v>267</v>
      </c>
      <c r="C96" s="47" t="n">
        <v>1169</v>
      </c>
      <c r="D96" s="47" t="n">
        <v>1224</v>
      </c>
      <c r="E96" s="47" t="n">
        <v>1176</v>
      </c>
    </row>
    <row r="97" customFormat="false" ht="15" hidden="false" customHeight="true" outlineLevel="0" collapsed="false">
      <c r="B97" s="46" t="s">
        <v>268</v>
      </c>
      <c r="C97" s="47" t="n">
        <v>24787</v>
      </c>
      <c r="D97" s="47" t="n">
        <v>24454</v>
      </c>
      <c r="E97" s="47" t="n">
        <v>22048</v>
      </c>
    </row>
    <row r="98" customFormat="false" ht="15" hidden="false" customHeight="true" outlineLevel="0" collapsed="false">
      <c r="B98" s="46" t="s">
        <v>269</v>
      </c>
      <c r="C98" s="47" t="n">
        <v>5185</v>
      </c>
      <c r="D98" s="47" t="n">
        <v>4664</v>
      </c>
      <c r="E98" s="47" t="n">
        <v>3785</v>
      </c>
    </row>
    <row r="99" customFormat="false" ht="15" hidden="false" customHeight="true" outlineLevel="0" collapsed="false">
      <c r="B99" s="46" t="s">
        <v>270</v>
      </c>
      <c r="C99" s="47" t="n">
        <v>809</v>
      </c>
      <c r="D99" s="47" t="n">
        <v>1014</v>
      </c>
      <c r="E99" s="47" t="n">
        <v>1257</v>
      </c>
    </row>
    <row r="100" customFormat="false" ht="15" hidden="false" customHeight="true" outlineLevel="0" collapsed="false">
      <c r="B100" s="46" t="s">
        <v>271</v>
      </c>
      <c r="C100" s="47" t="n">
        <v>2112</v>
      </c>
      <c r="D100" s="47" t="n">
        <v>1949</v>
      </c>
      <c r="E100" s="47" t="n">
        <v>1675</v>
      </c>
    </row>
    <row r="101" customFormat="false" ht="15" hidden="false" customHeight="true" outlineLevel="0" collapsed="false">
      <c r="B101" s="46" t="s">
        <v>272</v>
      </c>
      <c r="C101" s="47" t="n">
        <v>747</v>
      </c>
      <c r="D101" s="47" t="n">
        <v>1117</v>
      </c>
      <c r="E101" s="47" t="n">
        <v>1076</v>
      </c>
    </row>
    <row r="102" customFormat="false" ht="15" hidden="false" customHeight="true" outlineLevel="0" collapsed="false">
      <c r="B102" s="46" t="s">
        <v>273</v>
      </c>
      <c r="C102" s="47" t="n">
        <v>4764</v>
      </c>
      <c r="D102" s="47" t="n">
        <v>4991</v>
      </c>
      <c r="E102" s="47" t="n">
        <v>4030</v>
      </c>
    </row>
    <row r="103" customFormat="false" ht="15" hidden="false" customHeight="true" outlineLevel="0" collapsed="false">
      <c r="B103" s="44" t="s">
        <v>274</v>
      </c>
      <c r="C103" s="48" t="n">
        <f aca="false">SUM(C95:C102)</f>
        <v>40641</v>
      </c>
      <c r="D103" s="48" t="n">
        <f aca="false">SUM(D95:D102)</f>
        <v>40424</v>
      </c>
      <c r="E103" s="48" t="n">
        <f aca="false">SUM(E95:E102)</f>
        <v>36174</v>
      </c>
    </row>
    <row r="105" customFormat="false" ht="15" hidden="false" customHeight="true" outlineLevel="0" collapsed="false">
      <c r="B105" s="52" t="s">
        <v>275</v>
      </c>
    </row>
    <row r="106" customFormat="false" ht="15" hidden="false" customHeight="true" outlineLevel="0" collapsed="false">
      <c r="B106" s="46" t="s">
        <v>276</v>
      </c>
      <c r="C106" s="47" t="n">
        <v>8353</v>
      </c>
      <c r="D106" s="47" t="n">
        <v>7828</v>
      </c>
      <c r="E106" s="47" t="n">
        <v>7304</v>
      </c>
    </row>
    <row r="107" customFormat="false" ht="15" hidden="false" customHeight="true" outlineLevel="0" collapsed="false">
      <c r="B107" s="46" t="s">
        <v>277</v>
      </c>
      <c r="C107" s="47" t="n">
        <v>14868</v>
      </c>
      <c r="D107" s="47" t="n">
        <v>14463</v>
      </c>
      <c r="E107" s="47" t="n">
        <v>13572</v>
      </c>
    </row>
    <row r="108" customFormat="false" ht="15" hidden="false" customHeight="true" outlineLevel="0" collapsed="false">
      <c r="B108" s="46" t="s">
        <v>278</v>
      </c>
      <c r="C108" s="47" t="n">
        <v>25612</v>
      </c>
      <c r="D108" s="47" t="n">
        <v>24144</v>
      </c>
      <c r="E108" s="47" t="n">
        <v>22431</v>
      </c>
    </row>
    <row r="109" customFormat="false" ht="15" hidden="false" customHeight="true" outlineLevel="0" collapsed="false">
      <c r="B109" s="46" t="s">
        <v>279</v>
      </c>
      <c r="C109" s="47" t="n">
        <v>709</v>
      </c>
      <c r="D109" s="47" t="n">
        <v>746</v>
      </c>
      <c r="E109" s="47" t="n">
        <v>594</v>
      </c>
    </row>
    <row r="110" customFormat="false" ht="15" hidden="false" customHeight="true" outlineLevel="0" collapsed="false">
      <c r="B110" s="46" t="s">
        <v>280</v>
      </c>
      <c r="C110" s="47" t="n">
        <v>737</v>
      </c>
      <c r="D110" s="47" t="n">
        <v>639</v>
      </c>
      <c r="E110" s="47" t="n">
        <v>572</v>
      </c>
    </row>
    <row r="111" customFormat="false" ht="15" hidden="false" customHeight="true" outlineLevel="0" collapsed="false">
      <c r="B111" s="46" t="s">
        <v>281</v>
      </c>
      <c r="C111" s="47" t="n">
        <v>399</v>
      </c>
      <c r="D111" s="47" t="n">
        <v>535</v>
      </c>
      <c r="E111" s="47" t="n">
        <v>476</v>
      </c>
    </row>
    <row r="112" customFormat="false" ht="15" hidden="false" customHeight="true" outlineLevel="0" collapsed="false">
      <c r="B112" s="46" t="s">
        <v>282</v>
      </c>
      <c r="C112" s="47" t="n">
        <v>6740</v>
      </c>
      <c r="D112" s="47" t="n">
        <v>6152</v>
      </c>
      <c r="E112" s="47" t="n">
        <v>4956</v>
      </c>
    </row>
    <row r="113" customFormat="false" ht="15" hidden="false" customHeight="true" outlineLevel="0" collapsed="false">
      <c r="B113" s="44" t="s">
        <v>283</v>
      </c>
      <c r="C113" s="48" t="n">
        <f aca="false">SUM(C106:C112)</f>
        <v>57418</v>
      </c>
      <c r="D113" s="48" t="n">
        <f aca="false">SUM(D106:D112)</f>
        <v>54507</v>
      </c>
      <c r="E113" s="48" t="n">
        <f aca="false">SUM(E106:E112)</f>
        <v>49905</v>
      </c>
    </row>
    <row r="114" customFormat="false" ht="15" hidden="false" customHeight="true" outlineLevel="0" collapsed="false">
      <c r="B114" s="46" t="s">
        <v>284</v>
      </c>
      <c r="C114" s="47" t="n">
        <v>678</v>
      </c>
      <c r="D114" s="47" t="n">
        <v>527</v>
      </c>
      <c r="E114" s="47" t="n">
        <v>438</v>
      </c>
    </row>
    <row r="115" customFormat="false" ht="15" hidden="false" customHeight="true" outlineLevel="0" collapsed="false">
      <c r="B115" s="44" t="s">
        <v>285</v>
      </c>
      <c r="C115" s="48" t="n">
        <f aca="false">C92+C103+SUM(C106:C112)+C114</f>
        <v>133066</v>
      </c>
      <c r="D115" s="48" t="n">
        <f aca="false">D92+D103+SUM(D106:D112)+D114</f>
        <v>129491</v>
      </c>
      <c r="E115" s="48" t="n">
        <f aca="false">E92+E103+SUM(E106:E112)+E114</f>
        <v>118557</v>
      </c>
    </row>
    <row r="117" customFormat="false" ht="15" hidden="false" customHeight="true" outlineLevel="0" collapsed="false">
      <c r="B117" s="44" t="s">
        <v>286</v>
      </c>
      <c r="C117" s="59" t="str">
        <f aca="false">IF(ABS(C80-C115)&lt;=2,"OK (rounding)","REVIEW")</f>
        <v>OK (rounding)</v>
      </c>
      <c r="D117" s="59" t="str">
        <f aca="false">IF(ABS(D80-D115)&lt;=2,"OK (rounding)","REVIEW")</f>
        <v>OK (rounding)</v>
      </c>
      <c r="E117" s="59" t="str">
        <f aca="false">IF(ABS(E80-E115)&lt;=2,"OK (rounding)","REVIEW")</f>
        <v>OK (rounding)</v>
      </c>
    </row>
    <row r="119" customFormat="false" ht="15" hidden="false" customHeight="true" outlineLevel="0" collapsed="false">
      <c r="B119" s="44" t="s">
        <v>287</v>
      </c>
    </row>
    <row r="120" customFormat="false" ht="15" hidden="false" customHeight="true" outlineLevel="0" collapsed="false">
      <c r="C120" s="45" t="s">
        <v>185</v>
      </c>
      <c r="D120" s="45" t="s">
        <v>186</v>
      </c>
      <c r="E120" s="45" t="s">
        <v>187</v>
      </c>
    </row>
    <row r="121" customFormat="false" ht="15" hidden="false" customHeight="true" outlineLevel="0" collapsed="false">
      <c r="B121" s="52" t="s">
        <v>288</v>
      </c>
    </row>
    <row r="122" customFormat="false" ht="15" hidden="false" customHeight="true" outlineLevel="0" collapsed="false">
      <c r="B122" s="46" t="s">
        <v>289</v>
      </c>
      <c r="C122" s="47" t="n">
        <v>5275</v>
      </c>
      <c r="D122" s="47" t="n">
        <v>5274</v>
      </c>
      <c r="E122" s="47" t="n">
        <v>5102</v>
      </c>
    </row>
    <row r="123" customFormat="false" ht="15" hidden="false" customHeight="true" outlineLevel="0" collapsed="false">
      <c r="B123" s="46" t="s">
        <v>290</v>
      </c>
      <c r="C123" s="47" t="n">
        <v>4206</v>
      </c>
      <c r="D123" s="47" t="n">
        <v>3998</v>
      </c>
      <c r="E123" s="47" t="n">
        <v>3799</v>
      </c>
    </row>
    <row r="124" customFormat="false" ht="15" hidden="false" customHeight="true" outlineLevel="0" collapsed="false">
      <c r="B124" s="46" t="s">
        <v>291</v>
      </c>
      <c r="C124" s="47" t="n">
        <v>129</v>
      </c>
      <c r="D124" s="47" t="n">
        <v>55</v>
      </c>
      <c r="E124" s="47" t="n">
        <v>134</v>
      </c>
    </row>
    <row r="125" customFormat="false" ht="15" hidden="false" customHeight="true" outlineLevel="0" collapsed="false">
      <c r="B125" s="46" t="s">
        <v>292</v>
      </c>
      <c r="C125" s="47" t="n">
        <v>318</v>
      </c>
      <c r="D125" s="47" t="n">
        <v>230</v>
      </c>
      <c r="E125" s="47" t="n">
        <v>131</v>
      </c>
    </row>
    <row r="126" customFormat="false" ht="15" hidden="false" customHeight="true" outlineLevel="0" collapsed="false">
      <c r="B126" s="46" t="s">
        <v>293</v>
      </c>
      <c r="C126" s="47" t="n">
        <v>-63</v>
      </c>
      <c r="D126" s="47" t="n">
        <v>-35</v>
      </c>
      <c r="E126" s="47" t="n">
        <v>35</v>
      </c>
    </row>
    <row r="127" customFormat="false" ht="15" hidden="false" customHeight="true" outlineLevel="0" collapsed="false">
      <c r="B127" s="46" t="s">
        <v>294</v>
      </c>
      <c r="C127" s="47" t="n">
        <v>15</v>
      </c>
      <c r="D127" s="47" t="n">
        <v>78</v>
      </c>
      <c r="E127" s="47" t="n">
        <v>56</v>
      </c>
    </row>
    <row r="128" customFormat="false" ht="15" hidden="false" customHeight="true" outlineLevel="0" collapsed="false">
      <c r="B128" s="46" t="s">
        <v>295</v>
      </c>
      <c r="C128" s="47" t="n">
        <v>-341</v>
      </c>
      <c r="D128" s="47" t="n">
        <v>-260</v>
      </c>
      <c r="E128" s="47" t="n">
        <v>-142</v>
      </c>
    </row>
    <row r="129" customFormat="false" ht="15" hidden="false" customHeight="true" outlineLevel="0" collapsed="false">
      <c r="B129" s="46" t="s">
        <v>296</v>
      </c>
      <c r="C129" s="47" t="n">
        <v>1247</v>
      </c>
      <c r="D129" s="47" t="n">
        <v>1191</v>
      </c>
      <c r="E129" s="47" t="n">
        <v>894</v>
      </c>
    </row>
    <row r="130" customFormat="false" ht="15" hidden="false" customHeight="true" outlineLevel="0" collapsed="false">
      <c r="B130" s="46" t="s">
        <v>297</v>
      </c>
      <c r="C130" s="47" t="n">
        <v>-125</v>
      </c>
      <c r="D130" s="47" t="n">
        <v>-127</v>
      </c>
      <c r="E130" s="47" t="n">
        <v>-118</v>
      </c>
    </row>
    <row r="131" customFormat="false" ht="15" hidden="false" customHeight="true" outlineLevel="0" collapsed="false">
      <c r="B131" s="46" t="s">
        <v>298</v>
      </c>
      <c r="C131" s="47" t="n">
        <v>185</v>
      </c>
      <c r="D131" s="47" t="n">
        <v>185</v>
      </c>
      <c r="E131" s="47" t="n">
        <v>155</v>
      </c>
    </row>
    <row r="132" customFormat="false" ht="15" hidden="false" customHeight="true" outlineLevel="0" collapsed="false">
      <c r="B132" s="46" t="s">
        <v>299</v>
      </c>
      <c r="C132" s="47" t="n">
        <v>2661</v>
      </c>
      <c r="D132" s="47" t="n">
        <v>2102</v>
      </c>
      <c r="E132" s="47" t="n">
        <v>1917</v>
      </c>
    </row>
    <row r="133" customFormat="false" ht="15" hidden="false" customHeight="true" outlineLevel="0" collapsed="false">
      <c r="B133" s="46" t="s">
        <v>300</v>
      </c>
      <c r="C133" s="48" t="n">
        <f aca="false">SUM(C122:C132)</f>
        <v>13507</v>
      </c>
      <c r="D133" s="48" t="n">
        <f aca="false">SUM(D122:D132)</f>
        <v>12691</v>
      </c>
      <c r="E133" s="48" t="n">
        <f aca="false">SUM(E122:E132)</f>
        <v>11963</v>
      </c>
    </row>
    <row r="134" customFormat="false" ht="15" hidden="false" customHeight="true" outlineLevel="0" collapsed="false">
      <c r="B134" s="46" t="s">
        <v>301</v>
      </c>
      <c r="C134" s="47" t="n">
        <v>2496</v>
      </c>
      <c r="D134" s="47" t="n">
        <v>2311</v>
      </c>
      <c r="E134" s="47" t="n">
        <v>1463</v>
      </c>
    </row>
    <row r="135" customFormat="false" ht="15" hidden="false" customHeight="true" outlineLevel="0" collapsed="false">
      <c r="B135" s="46" t="s">
        <v>302</v>
      </c>
      <c r="C135" s="47" t="n">
        <v>-3005</v>
      </c>
      <c r="D135" s="47" t="n">
        <v>-2220</v>
      </c>
      <c r="E135" s="47" t="n">
        <v>-2288</v>
      </c>
    </row>
    <row r="136" customFormat="false" ht="15" hidden="false" customHeight="true" outlineLevel="0" collapsed="false">
      <c r="B136" s="46" t="s">
        <v>303</v>
      </c>
      <c r="C136" s="47" t="n">
        <v>-1318</v>
      </c>
      <c r="D136" s="47" t="n">
        <v>-1177</v>
      </c>
      <c r="E136" s="47" t="n">
        <v>-802</v>
      </c>
    </row>
    <row r="137" customFormat="false" ht="15" hidden="false" customHeight="true" outlineLevel="0" collapsed="false">
      <c r="B137" s="46" t="s">
        <v>304</v>
      </c>
      <c r="C137" s="47" t="n">
        <v>282</v>
      </c>
      <c r="D137" s="47" t="n">
        <v>117</v>
      </c>
      <c r="E137" s="47" t="n">
        <v>110</v>
      </c>
    </row>
    <row r="138" customFormat="false" ht="15" hidden="false" customHeight="true" outlineLevel="0" collapsed="false">
      <c r="B138" s="46" t="s">
        <v>305</v>
      </c>
      <c r="C138" s="47" t="n">
        <v>-76</v>
      </c>
      <c r="D138" s="47" t="n">
        <v>-6</v>
      </c>
      <c r="E138" s="47" t="n">
        <v>93</v>
      </c>
    </row>
    <row r="139" customFormat="false" ht="15" hidden="false" customHeight="true" outlineLevel="0" collapsed="false">
      <c r="B139" s="44" t="s">
        <v>306</v>
      </c>
      <c r="C139" s="48" t="n">
        <v>11886</v>
      </c>
      <c r="D139" s="48" t="n">
        <v>11714</v>
      </c>
      <c r="E139" s="47" t="n">
        <v>10540</v>
      </c>
    </row>
    <row r="140" customFormat="false" ht="15" hidden="false" customHeight="true" outlineLevel="0" collapsed="false">
      <c r="B140" s="46" t="s">
        <v>307</v>
      </c>
      <c r="C140" s="46" t="str">
        <f aca="false">IF(ABS(SUM(C122:C132)+SUM(C134:C138)-C139)&lt;=2,"OK (rounding)","REVIEW — gap exceeds rounding")</f>
        <v>OK (rounding)</v>
      </c>
      <c r="D140" s="46" t="str">
        <f aca="false">IF(ABS(SUM(D122:D132)+SUM(D134:D138)-D139)&lt;=2,"OK (rounding)","REVIEW — gap exceeds rounding")</f>
        <v>OK (rounding)</v>
      </c>
      <c r="E140" s="46" t="str">
        <f aca="false">IF(ABS(SUM(E122:E132)+SUM(E134:E138)-E139)&lt;=2,"OK (rounding)","REVIEW — gap exceeds rounding")</f>
        <v>OK (rounding)</v>
      </c>
    </row>
    <row r="142" customFormat="false" ht="15" hidden="false" customHeight="true" outlineLevel="0" collapsed="false">
      <c r="B142" s="52" t="s">
        <v>308</v>
      </c>
    </row>
    <row r="143" customFormat="false" ht="15" hidden="false" customHeight="true" outlineLevel="0" collapsed="false">
      <c r="B143" s="46" t="s">
        <v>309</v>
      </c>
      <c r="C143" s="47" t="n">
        <v>-3011</v>
      </c>
      <c r="D143" s="47" t="n">
        <v>-2878</v>
      </c>
      <c r="E143" s="47" t="n">
        <v>-2251</v>
      </c>
    </row>
    <row r="144" customFormat="false" ht="15" hidden="false" customHeight="true" outlineLevel="0" collapsed="false">
      <c r="B144" s="46" t="s">
        <v>310</v>
      </c>
      <c r="C144" s="47" t="n">
        <v>179</v>
      </c>
      <c r="D144" s="47" t="n">
        <v>170</v>
      </c>
      <c r="E144" s="47" t="n">
        <v>148</v>
      </c>
    </row>
    <row r="145" customFormat="false" ht="15" hidden="false" customHeight="true" outlineLevel="0" collapsed="false">
      <c r="B145" s="46" t="s">
        <v>311</v>
      </c>
      <c r="C145" s="48" t="n">
        <f aca="false">SUM(C143:C144)</f>
        <v>-2832</v>
      </c>
      <c r="D145" s="48" t="n">
        <f aca="false">SUM(D143:D144)</f>
        <v>-2708</v>
      </c>
      <c r="E145" s="48" t="n">
        <f aca="false">SUM(E143:E144)</f>
        <v>-2103</v>
      </c>
    </row>
    <row r="146" customFormat="false" ht="15" hidden="false" customHeight="true" outlineLevel="0" collapsed="false">
      <c r="B146" s="46" t="s">
        <v>312</v>
      </c>
      <c r="C146" s="47" t="n">
        <v>-862</v>
      </c>
      <c r="D146" s="47" t="n">
        <v>-1174</v>
      </c>
      <c r="E146" s="47" t="n">
        <v>-1081</v>
      </c>
    </row>
    <row r="147" customFormat="false" ht="15" hidden="false" customHeight="true" outlineLevel="0" collapsed="false">
      <c r="B147" s="46" t="s">
        <v>313</v>
      </c>
      <c r="C147" s="47" t="n">
        <v>-311</v>
      </c>
      <c r="D147" s="47" t="n">
        <v>-279</v>
      </c>
      <c r="E147" s="47" t="n">
        <v>-49</v>
      </c>
    </row>
    <row r="148" customFormat="false" ht="15" hidden="false" customHeight="true" outlineLevel="0" collapsed="false">
      <c r="B148" s="46" t="s">
        <v>314</v>
      </c>
      <c r="C148" s="48" t="n">
        <f aca="false">SUM(C146:C147)</f>
        <v>-1173</v>
      </c>
      <c r="D148" s="48" t="n">
        <f aca="false">SUM(D146:D147)</f>
        <v>-1453</v>
      </c>
      <c r="E148" s="48" t="n">
        <f aca="false">SUM(E146:E147)</f>
        <v>-1130</v>
      </c>
    </row>
    <row r="149" customFormat="false" ht="15" hidden="false" customHeight="true" outlineLevel="0" collapsed="false">
      <c r="B149" s="44" t="s">
        <v>315</v>
      </c>
      <c r="C149" s="60" t="n">
        <f aca="false">C145+C148</f>
        <v>-4005</v>
      </c>
      <c r="D149" s="60" t="n">
        <f aca="false">D145+D148</f>
        <v>-4161</v>
      </c>
      <c r="E149" s="60" t="n">
        <f aca="false">E145+E148</f>
        <v>-3233</v>
      </c>
    </row>
    <row r="150" customFormat="false" ht="15" hidden="false" customHeight="true" outlineLevel="0" collapsed="false">
      <c r="B150" s="46" t="s">
        <v>316</v>
      </c>
      <c r="C150" s="47" t="n">
        <v>-1449</v>
      </c>
      <c r="D150" s="47" t="n">
        <v>-5006</v>
      </c>
      <c r="E150" s="47" t="n">
        <v>-648</v>
      </c>
    </row>
    <row r="151" customFormat="false" ht="15" hidden="false" customHeight="true" outlineLevel="0" collapsed="false">
      <c r="B151" s="46" t="s">
        <v>317</v>
      </c>
      <c r="C151" s="47" t="n">
        <v>290</v>
      </c>
      <c r="D151" s="47" t="n">
        <v>122</v>
      </c>
      <c r="E151" s="47" t="n">
        <v>110</v>
      </c>
    </row>
    <row r="152" customFormat="false" ht="15" hidden="false" customHeight="true" outlineLevel="0" collapsed="false">
      <c r="B152" s="46" t="s">
        <v>318</v>
      </c>
      <c r="C152" s="47" t="n">
        <v>358</v>
      </c>
      <c r="D152" s="47" t="n">
        <v>287</v>
      </c>
      <c r="E152" s="47" t="n">
        <v>141</v>
      </c>
    </row>
    <row r="153" customFormat="false" ht="15" hidden="false" customHeight="true" outlineLevel="0" collapsed="false">
      <c r="B153" s="46" t="s">
        <v>319</v>
      </c>
      <c r="C153" s="50" t="n">
        <f aca="false">SUM(C150:C152)</f>
        <v>-801</v>
      </c>
      <c r="D153" s="50" t="n">
        <f aca="false">SUM(D150:D152)</f>
        <v>-4597</v>
      </c>
      <c r="E153" s="50" t="n">
        <f aca="false">SUM(E150:E152)</f>
        <v>-397</v>
      </c>
    </row>
    <row r="154" customFormat="false" ht="15" hidden="false" customHeight="true" outlineLevel="0" collapsed="false">
      <c r="B154" s="46" t="s">
        <v>320</v>
      </c>
      <c r="C154" s="47" t="n">
        <v>-305</v>
      </c>
      <c r="D154" s="47" t="n">
        <v>-294</v>
      </c>
      <c r="E154" s="47" t="n">
        <v>-346</v>
      </c>
    </row>
    <row r="155" customFormat="false" ht="15" hidden="false" customHeight="true" outlineLevel="0" collapsed="false">
      <c r="B155" s="44" t="s">
        <v>321</v>
      </c>
      <c r="C155" s="48" t="n">
        <v>-5112</v>
      </c>
      <c r="D155" s="48" t="n">
        <v>-9051</v>
      </c>
      <c r="E155" s="47" t="n">
        <v>-3977</v>
      </c>
    </row>
    <row r="156" customFormat="false" ht="15" hidden="false" customHeight="true" outlineLevel="0" collapsed="false">
      <c r="B156" s="46" t="s">
        <v>307</v>
      </c>
      <c r="C156" s="46" t="str">
        <f aca="false">IF(ABS(C149+SUM(C150:C152)+C154-C155)&lt;=2,"OK (rounding)","REVIEW — gap exceeds rounding")</f>
        <v>OK (rounding)</v>
      </c>
      <c r="D156" s="46" t="str">
        <f aca="false">IF(ABS(D149+SUM(D150:D152)+D154-D155)&lt;=2,"OK (rounding)","REVIEW — gap exceeds rounding")</f>
        <v>OK (rounding)</v>
      </c>
      <c r="E156" s="46" t="str">
        <f aca="false">IF(ABS(E149+SUM(E150:E152)+E154-E155)&lt;=2,"OK (rounding)","REVIEW — gap exceeds rounding")</f>
        <v>OK (rounding)</v>
      </c>
    </row>
    <row r="158" customFormat="false" ht="15" hidden="false" customHeight="true" outlineLevel="0" collapsed="false">
      <c r="B158" s="52" t="s">
        <v>322</v>
      </c>
    </row>
    <row r="159" customFormat="false" ht="15" hidden="false" customHeight="true" outlineLevel="0" collapsed="false">
      <c r="B159" s="46" t="s">
        <v>323</v>
      </c>
      <c r="C159" s="47" t="n">
        <v>771</v>
      </c>
      <c r="D159" s="47" t="n">
        <v>668</v>
      </c>
      <c r="E159" s="47" t="n">
        <v>709</v>
      </c>
    </row>
    <row r="160" customFormat="false" ht="15" hidden="false" customHeight="true" outlineLevel="0" collapsed="false">
      <c r="B160" s="46" t="s">
        <v>324</v>
      </c>
      <c r="C160" s="47" t="n">
        <v>-2002</v>
      </c>
      <c r="D160" s="47" t="n">
        <v>-1912</v>
      </c>
      <c r="E160" s="47" t="n">
        <v>-397</v>
      </c>
    </row>
    <row r="161" customFormat="false" ht="15" hidden="false" customHeight="true" outlineLevel="0" collapsed="false">
      <c r="B161" s="46" t="s">
        <v>325</v>
      </c>
      <c r="C161" s="47" t="n">
        <v>11</v>
      </c>
      <c r="D161" s="47" t="n">
        <v>-2</v>
      </c>
      <c r="E161" s="47" t="n">
        <v>-1</v>
      </c>
    </row>
    <row r="162" customFormat="false" ht="15" hidden="false" customHeight="true" outlineLevel="0" collapsed="false">
      <c r="B162" s="46" t="s">
        <v>326</v>
      </c>
      <c r="C162" s="47" t="n">
        <v>-19</v>
      </c>
      <c r="D162" s="47" t="n">
        <v>-77</v>
      </c>
      <c r="E162" s="47" t="n">
        <v>-1</v>
      </c>
    </row>
    <row r="163" customFormat="false" ht="15" hidden="false" customHeight="true" outlineLevel="0" collapsed="false">
      <c r="B163" s="46" t="s">
        <v>327</v>
      </c>
      <c r="C163" s="47" t="n">
        <v>-2665</v>
      </c>
      <c r="D163" s="47" t="n">
        <v>-2570</v>
      </c>
      <c r="E163" s="47" t="n">
        <v>-2293</v>
      </c>
    </row>
    <row r="164" customFormat="false" ht="15" hidden="false" customHeight="true" outlineLevel="0" collapsed="false">
      <c r="B164" s="46" t="s">
        <v>328</v>
      </c>
      <c r="C164" s="47" t="n">
        <v>-805</v>
      </c>
      <c r="D164" s="47" t="n">
        <v>-902</v>
      </c>
      <c r="E164" s="47" t="n">
        <v>-187</v>
      </c>
    </row>
    <row r="165" customFormat="false" ht="15" hidden="false" customHeight="true" outlineLevel="0" collapsed="false">
      <c r="B165" s="46" t="s">
        <v>329</v>
      </c>
      <c r="C165" s="47" t="n">
        <v>5651</v>
      </c>
      <c r="D165" s="47" t="n">
        <v>4117</v>
      </c>
      <c r="E165" s="47" t="n">
        <v>3004</v>
      </c>
    </row>
    <row r="166" customFormat="false" ht="15" hidden="false" customHeight="true" outlineLevel="0" collapsed="false">
      <c r="B166" s="46" t="s">
        <v>330</v>
      </c>
      <c r="C166" s="47" t="n">
        <v>-4315</v>
      </c>
      <c r="D166" s="47" t="n">
        <v>-1993</v>
      </c>
      <c r="E166" s="47" t="n">
        <v>-2179</v>
      </c>
    </row>
    <row r="167" customFormat="false" ht="15" hidden="false" customHeight="true" outlineLevel="0" collapsed="false">
      <c r="B167" s="46" t="s">
        <v>331</v>
      </c>
      <c r="C167" s="47" t="n">
        <v>-871</v>
      </c>
      <c r="D167" s="47" t="n">
        <v>-745</v>
      </c>
      <c r="E167" s="47" t="n">
        <v>-679</v>
      </c>
    </row>
    <row r="168" customFormat="false" ht="15" hidden="false" customHeight="true" outlineLevel="0" collapsed="false">
      <c r="B168" s="46" t="s">
        <v>332</v>
      </c>
      <c r="C168" s="47" t="n">
        <v>-26</v>
      </c>
      <c r="D168" s="47" t="n">
        <v>387</v>
      </c>
      <c r="E168" s="47" t="n">
        <v>-1408</v>
      </c>
    </row>
    <row r="169" customFormat="false" ht="15" hidden="false" customHeight="true" outlineLevel="0" collapsed="false">
      <c r="B169" s="44" t="s">
        <v>333</v>
      </c>
      <c r="C169" s="48" t="n">
        <v>-4270</v>
      </c>
      <c r="D169" s="48" t="n">
        <v>-3027</v>
      </c>
      <c r="E169" s="47" t="n">
        <v>-3433</v>
      </c>
    </row>
    <row r="170" customFormat="false" ht="15" hidden="false" customHeight="true" outlineLevel="0" collapsed="false">
      <c r="B170" s="46" t="s">
        <v>307</v>
      </c>
      <c r="C170" s="61" t="str">
        <f aca="false">IF(ABS(SUM(C159:C168)-C169)&lt;=2,"OK (rounding)","REVIEW — gap exceeds rounding")</f>
        <v>OK (rounding)</v>
      </c>
      <c r="D170" s="46" t="str">
        <f aca="false">IF(ABS(SUM(D159:D168)-D169)&lt;=2,"OK (rounding)","REVIEW — gap exceeds rounding")</f>
        <v>OK (rounding)</v>
      </c>
      <c r="E170" s="61" t="str">
        <f aca="false">IF(ABS(SUM(E159:E168)-E169)&lt;=2,"OK (rounding)","REVIEW — gap exceeds rounding")</f>
        <v>OK (rounding)</v>
      </c>
    </row>
    <row r="172" customFormat="false" ht="15" hidden="false" customHeight="true" outlineLevel="0" collapsed="false">
      <c r="B172" s="46" t="s">
        <v>334</v>
      </c>
      <c r="C172" s="47" t="n">
        <v>-142</v>
      </c>
      <c r="D172" s="47" t="n">
        <v>-40</v>
      </c>
      <c r="E172" s="47" t="n">
        <v>76</v>
      </c>
    </row>
    <row r="173" customFormat="false" ht="15" hidden="false" customHeight="true" outlineLevel="0" collapsed="false">
      <c r="B173" s="44" t="s">
        <v>335</v>
      </c>
      <c r="C173" s="48" t="n">
        <f aca="false">C139+C155+C169+C172</f>
        <v>2362</v>
      </c>
      <c r="D173" s="48" t="n">
        <f aca="false">D139+D155+D169+D172</f>
        <v>-404</v>
      </c>
      <c r="E173" s="48" t="n">
        <f aca="false">E139+E155+E169+E172</f>
        <v>3206</v>
      </c>
    </row>
    <row r="174" customFormat="false" ht="15" hidden="false" customHeight="true" outlineLevel="0" collapsed="false">
      <c r="B174" s="46" t="s">
        <v>336</v>
      </c>
      <c r="C174" s="47" t="n">
        <v>14297</v>
      </c>
      <c r="D174" s="47" t="n">
        <v>14701</v>
      </c>
      <c r="E174" s="47" t="n">
        <v>11495</v>
      </c>
    </row>
    <row r="175" customFormat="false" ht="15" hidden="false" customHeight="true" outlineLevel="0" collapsed="false">
      <c r="B175" s="46" t="s">
        <v>337</v>
      </c>
      <c r="C175" s="47" t="n">
        <v>16660</v>
      </c>
      <c r="D175" s="47" t="n">
        <v>14297</v>
      </c>
      <c r="E175" s="47" t="n">
        <v>14701</v>
      </c>
    </row>
    <row r="177" customFormat="false" ht="15" hidden="false" customHeight="true" outlineLevel="0" collapsed="false">
      <c r="B177" s="44" t="s">
        <v>338</v>
      </c>
    </row>
    <row r="178" customFormat="false" ht="15" hidden="false" customHeight="true" outlineLevel="0" collapsed="false">
      <c r="C178" s="45" t="s">
        <v>185</v>
      </c>
      <c r="D178" s="45" t="s">
        <v>186</v>
      </c>
    </row>
    <row r="179" customFormat="false" ht="15" hidden="false" customHeight="true" outlineLevel="0" collapsed="false">
      <c r="B179" s="46" t="s">
        <v>339</v>
      </c>
      <c r="C179" s="50" t="n">
        <f aca="false">C70+C71+C72</f>
        <v>29469</v>
      </c>
      <c r="D179" s="50" t="n">
        <f aca="false">D70+D71+D72</f>
        <v>29470</v>
      </c>
      <c r="E179" s="50" t="n">
        <f aca="false">E70+E71+E72</f>
        <v>28374</v>
      </c>
    </row>
    <row r="180" customFormat="false" ht="15" hidden="false" customHeight="true" outlineLevel="0" collapsed="false">
      <c r="B180" s="46" t="s">
        <v>340</v>
      </c>
      <c r="C180" s="50" t="n">
        <f aca="false">C106+C107+C108</f>
        <v>48833</v>
      </c>
      <c r="D180" s="50" t="n">
        <f aca="false">D106+D107+D108</f>
        <v>46435</v>
      </c>
      <c r="E180" s="50" t="n">
        <f aca="false">E106+E107+E108</f>
        <v>43307</v>
      </c>
    </row>
    <row r="181" customFormat="false" ht="15" hidden="false" customHeight="true" outlineLevel="0" collapsed="false">
      <c r="B181" s="44" t="s">
        <v>341</v>
      </c>
      <c r="C181" s="48" t="n">
        <f aca="false">C179-C180</f>
        <v>-19364</v>
      </c>
      <c r="D181" s="48" t="n">
        <f aca="false">D179-D180</f>
        <v>-16965</v>
      </c>
      <c r="E181" s="48" t="n">
        <f aca="false">E179-E180</f>
        <v>-14933</v>
      </c>
    </row>
    <row r="182" customFormat="false" ht="15" hidden="false" customHeight="true" outlineLevel="0" collapsed="false">
      <c r="B182" s="46" t="s">
        <v>342</v>
      </c>
      <c r="C182" s="51" t="n">
        <f aca="false">C181/C7</f>
        <v>-0.259574525127683</v>
      </c>
      <c r="D182" s="51" t="n">
        <f aca="false">D181/D7</f>
        <v>-0.236865252781928</v>
      </c>
      <c r="E182" s="51" t="n">
        <f aca="false">E181/E7</f>
        <v>-0.216929602835643</v>
      </c>
    </row>
    <row r="184" customFormat="false" ht="15" hidden="false" customHeight="true" outlineLevel="0" collapsed="false">
      <c r="B184" s="44" t="s">
        <v>343</v>
      </c>
    </row>
    <row r="185" customFormat="false" ht="15" hidden="false" customHeight="true" outlineLevel="0" collapsed="false">
      <c r="C185" s="45" t="s">
        <v>185</v>
      </c>
      <c r="D185" s="45" t="s">
        <v>186</v>
      </c>
    </row>
    <row r="186" customFormat="false" ht="15" hidden="false" customHeight="true" outlineLevel="0" collapsed="false">
      <c r="B186" s="46" t="s">
        <v>344</v>
      </c>
      <c r="C186" s="47" t="n">
        <v>-36712</v>
      </c>
      <c r="D186" s="47" t="n">
        <v>-35271</v>
      </c>
      <c r="E186" s="47" t="n">
        <f aca="false">-(E97+E98+E112)</f>
        <v>-30789</v>
      </c>
    </row>
    <row r="187" customFormat="false" ht="15" hidden="false" customHeight="true" outlineLevel="0" collapsed="false">
      <c r="B187" s="46" t="s">
        <v>345</v>
      </c>
      <c r="C187" s="46" t="str">
        <f aca="false">IF(ABS((C97+C98+C112)-(-C186))&lt;=1,"OK","REVIEW")</f>
        <v>OK</v>
      </c>
      <c r="E187" s="46" t="str">
        <f aca="false">IF(ABS((E97+E98+E112)-(-E186))&lt;=1,"OK","REVIEW")</f>
        <v>OK</v>
      </c>
    </row>
    <row r="188" customFormat="false" ht="15" hidden="false" customHeight="true" outlineLevel="0" collapsed="false">
      <c r="B188" s="46" t="s">
        <v>346</v>
      </c>
      <c r="C188" s="47" t="n">
        <v>18506</v>
      </c>
      <c r="D188" s="47" t="n">
        <v>16101</v>
      </c>
    </row>
    <row r="189" customFormat="false" ht="15" hidden="false" customHeight="true" outlineLevel="0" collapsed="false">
      <c r="B189" s="46" t="s">
        <v>347</v>
      </c>
      <c r="C189" s="47" t="n">
        <v>-869</v>
      </c>
      <c r="D189" s="47" t="n">
        <v>-1245</v>
      </c>
    </row>
    <row r="190" customFormat="false" ht="15" hidden="false" customHeight="true" outlineLevel="0" collapsed="false">
      <c r="B190" s="46" t="s">
        <v>348</v>
      </c>
      <c r="C190" s="50" t="n">
        <f aca="false">C186+C188+C189</f>
        <v>-19075</v>
      </c>
      <c r="D190" s="50" t="n">
        <f aca="false">D186+D188+D189</f>
        <v>-20415</v>
      </c>
      <c r="E190" s="47" t="n">
        <v>-16126</v>
      </c>
    </row>
    <row r="191" customFormat="false" ht="15" hidden="false" customHeight="true" outlineLevel="0" collapsed="false">
      <c r="B191" s="44" t="s">
        <v>349</v>
      </c>
      <c r="C191" s="60" t="n">
        <f aca="false">-C190</f>
        <v>19075</v>
      </c>
      <c r="D191" s="48" t="n">
        <f aca="false">-D190</f>
        <v>20415</v>
      </c>
      <c r="E191" s="60" t="n">
        <f aca="false">-E190</f>
        <v>16126</v>
      </c>
    </row>
    <row r="193" customFormat="false" ht="15" hidden="false" customHeight="true" outlineLevel="0" collapsed="false">
      <c r="B193" s="44"/>
    </row>
    <row r="194" customFormat="false" ht="15" hidden="false" customHeight="true" outlineLevel="0" collapsed="false">
      <c r="C194" s="45"/>
    </row>
    <row r="195" customFormat="false" ht="15" hidden="false" customHeight="true" outlineLevel="0" collapsed="false">
      <c r="B195" s="46"/>
      <c r="C195" s="53"/>
    </row>
    <row r="196" customFormat="false" ht="15" hidden="false" customHeight="true" outlineLevel="0" collapsed="false">
      <c r="B196" s="46"/>
      <c r="C196" s="53"/>
      <c r="D196" s="53"/>
    </row>
    <row r="197" customFormat="false" ht="15" hidden="false" customHeight="true" outlineLevel="0" collapsed="false">
      <c r="B197" s="46"/>
      <c r="C197" s="47"/>
    </row>
    <row r="198" customFormat="false" ht="15" hidden="false" customHeight="true" outlineLevel="0" collapsed="false">
      <c r="B198" s="46"/>
      <c r="C198" s="62"/>
    </row>
    <row r="199" customFormat="false" ht="15" hidden="false" customHeight="true" outlineLevel="0" collapsed="false">
      <c r="B199" s="46"/>
      <c r="C199" s="53"/>
    </row>
    <row r="201" customFormat="false" ht="15" hidden="false" customHeight="true" outlineLevel="0" collapsed="false">
      <c r="B201" s="44" t="s">
        <v>350</v>
      </c>
    </row>
    <row r="202" customFormat="false" ht="15" hidden="false" customHeight="true" outlineLevel="0" collapsed="false">
      <c r="B202" s="46" t="s">
        <v>351</v>
      </c>
      <c r="C202" s="53" t="n">
        <v>99.58</v>
      </c>
    </row>
    <row r="203" customFormat="false" ht="15" hidden="false" customHeight="true" outlineLevel="0" collapsed="false">
      <c r="B203" s="46" t="s">
        <v>352</v>
      </c>
      <c r="C203" s="63" t="n">
        <v>0.03375</v>
      </c>
    </row>
    <row r="204" customFormat="false" ht="15" hidden="false" customHeight="true" outlineLevel="0" collapsed="false">
      <c r="B204" s="46" t="s">
        <v>353</v>
      </c>
      <c r="C204" s="49" t="n">
        <f aca="false">C203/(C202/100)</f>
        <v>0.0338923478610163</v>
      </c>
    </row>
    <row r="205" customFormat="false" ht="15" hidden="false" customHeight="true" outlineLevel="0" collapsed="false">
      <c r="B205" s="46" t="s">
        <v>354</v>
      </c>
      <c r="C205" s="57" t="n">
        <v>0.044</v>
      </c>
    </row>
    <row r="207" customFormat="false" ht="15" hidden="false" customHeight="true" outlineLevel="0" collapsed="false">
      <c r="B207" s="44" t="s">
        <v>355</v>
      </c>
    </row>
    <row r="208" customFormat="false" ht="15" hidden="false" customHeight="true" outlineLevel="0" collapsed="false">
      <c r="C208" s="44" t="s">
        <v>188</v>
      </c>
      <c r="D208" s="44" t="s">
        <v>139</v>
      </c>
    </row>
    <row r="209" customFormat="false" ht="15" hidden="false" customHeight="true" outlineLevel="0" collapsed="false">
      <c r="B209" s="46" t="s">
        <v>356</v>
      </c>
      <c r="C209" s="47" t="n">
        <v>6733</v>
      </c>
      <c r="D209" s="47" t="n">
        <v>4784</v>
      </c>
    </row>
    <row r="210" customFormat="false" ht="15" hidden="false" customHeight="true" outlineLevel="0" collapsed="false">
      <c r="B210" s="46" t="s">
        <v>357</v>
      </c>
      <c r="C210" s="47" t="n">
        <v>4796</v>
      </c>
      <c r="D210" s="47" t="n">
        <v>3042</v>
      </c>
    </row>
    <row r="211" customFormat="false" ht="15" hidden="false" customHeight="true" outlineLevel="0" collapsed="false">
      <c r="B211" s="46" t="s">
        <v>358</v>
      </c>
      <c r="C211" s="47" t="n">
        <v>29612</v>
      </c>
      <c r="D211" s="47" t="n">
        <v>2805</v>
      </c>
    </row>
    <row r="212" customFormat="false" ht="15" hidden="false" customHeight="true" outlineLevel="0" collapsed="false">
      <c r="B212" s="46" t="s">
        <v>359</v>
      </c>
      <c r="C212" s="47" t="n">
        <v>33241</v>
      </c>
      <c r="D212" s="47" t="n">
        <v>2194</v>
      </c>
    </row>
    <row r="213" customFormat="false" ht="15" hidden="false" customHeight="true" outlineLevel="0" collapsed="false">
      <c r="B213" s="46" t="s">
        <v>360</v>
      </c>
      <c r="C213" s="50" t="n">
        <f aca="false">SUM(C209:C212)</f>
        <v>74382</v>
      </c>
      <c r="D213" s="50" t="n">
        <f aca="false">SUM(D209:D212)</f>
        <v>12825</v>
      </c>
    </row>
    <row r="214" customFormat="false" ht="15" hidden="false" customHeight="true" outlineLevel="0" collapsed="false">
      <c r="B214" s="46" t="s">
        <v>361</v>
      </c>
      <c r="C214" s="50" t="n">
        <f aca="false">C213-C7</f>
        <v>-217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2026-07-06T11:43:08Z</dcterms:created>
  <dc:creator>openpyxl</dc:creator>
  <dc:description/>
  <dc:language>en-US</dc:language>
  <cp:lastModifiedBy/>
  <dcterms:modified xsi:type="dcterms:W3CDTF">2026-09-17T08:55:22Z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